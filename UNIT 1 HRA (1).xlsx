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dhy\Downloads\"/>
    </mc:Choice>
  </mc:AlternateContent>
  <xr:revisionPtr revIDLastSave="0" documentId="8_{EF8FFE01-7198-435E-BDAD-98952CF758FC}" xr6:coauthVersionLast="47" xr6:coauthVersionMax="47" xr10:uidLastSave="{00000000-0000-0000-0000-000000000000}"/>
  <bookViews>
    <workbookView xWindow="-110" yWindow="-110" windowWidth="19420" windowHeight="10300" tabRatio="880" firstSheet="10" activeTab="10" xr2:uid="{4EE6E91E-73BA-4088-A013-4FE6F259D45C}"/>
  </bookViews>
  <sheets>
    <sheet name="emp_data" sheetId="1" r:id="rId1"/>
    <sheet name="Sheet2" sheetId="3" state="hidden" r:id="rId2"/>
    <sheet name="Q01" sheetId="32" r:id="rId3"/>
    <sheet name="Q02" sheetId="31" r:id="rId4"/>
    <sheet name="Q03" sheetId="30" r:id="rId5"/>
    <sheet name="Q04" sheetId="29" r:id="rId6"/>
    <sheet name="Q05" sheetId="28" r:id="rId7"/>
    <sheet name="Q06" sheetId="27" r:id="rId8"/>
    <sheet name="Q07" sheetId="26" r:id="rId9"/>
    <sheet name="Q08" sheetId="25" r:id="rId10"/>
    <sheet name="Q09" sheetId="24" r:id="rId11"/>
    <sheet name="Q10" sheetId="23" r:id="rId12"/>
    <sheet name="Q11" sheetId="22" r:id="rId13"/>
    <sheet name="Q12" sheetId="21" r:id="rId14"/>
    <sheet name="Q13" sheetId="20" r:id="rId15"/>
    <sheet name="Q14" sheetId="19" r:id="rId16"/>
    <sheet name="Q15" sheetId="18" r:id="rId17"/>
    <sheet name="Q16" sheetId="17" r:id="rId18"/>
    <sheet name="Q17" sheetId="16" r:id="rId19"/>
    <sheet name="Q18" sheetId="15" r:id="rId20"/>
    <sheet name="Q19" sheetId="14" r:id="rId21"/>
    <sheet name="Q20" sheetId="13" r:id="rId22"/>
    <sheet name="Q21" sheetId="12" r:id="rId23"/>
    <sheet name="Q22" sheetId="11" r:id="rId24"/>
    <sheet name="Q23" sheetId="10" r:id="rId25"/>
    <sheet name="Q24" sheetId="9" r:id="rId26"/>
    <sheet name="Q25" sheetId="8" r:id="rId27"/>
    <sheet name="Q26" sheetId="6" r:id="rId28"/>
    <sheet name="Q27" sheetId="7" r:id="rId29"/>
    <sheet name="Q28" sheetId="33" r:id="rId30"/>
    <sheet name="Q29" sheetId="34" r:id="rId31"/>
    <sheet name="Q30" sheetId="35" r:id="rId32"/>
  </sheets>
  <definedNames>
    <definedName name="_xlnm._FilterDatabase" localSheetId="0" hidden="1">emp_data!$A$1:$X$201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9" l="1" a="1"/>
  <c r="C4" i="12"/>
  <c r="C4" i="11"/>
  <c r="C1" i="12"/>
  <c r="AC1" i="14" a="1"/>
  <c r="C1" i="29" a="1"/>
  <c r="C4" i="24"/>
  <c r="C3" i="26"/>
  <c r="C3" i="31"/>
  <c r="C3" i="32"/>
  <c r="C3" i="27"/>
  <c r="D2" i="9" a="1"/>
  <c r="D2" i="10" a="1"/>
  <c r="C1" i="15"/>
  <c r="C1" i="16"/>
  <c r="C3" i="17"/>
  <c r="C2" i="17"/>
  <c r="C2" i="35" a="1"/>
  <c r="C2" i="34" a="1"/>
  <c r="B1" i="33"/>
  <c r="C1" i="32"/>
  <c r="C1" i="31"/>
  <c r="C1" i="30" a="1"/>
  <c r="C1" i="28" a="1"/>
  <c r="C1" i="27"/>
  <c r="C1" i="26"/>
  <c r="C1" i="25" a="1"/>
  <c r="C1" i="20"/>
  <c r="C1" i="19"/>
  <c r="C1" i="18"/>
  <c r="C1" i="14" a="1"/>
  <c r="C1" i="13"/>
  <c r="C1" i="11"/>
  <c r="C1" i="8"/>
  <c r="C1" i="6" a="1"/>
  <c r="C1" i="7" a="1"/>
  <c r="C16" i="6" a="1"/>
  <c r="C204" i="3" a="1"/>
  <c r="C189" i="3" a="1"/>
  <c r="C187" i="3"/>
  <c r="C172" i="3" a="1"/>
  <c r="C122" i="3" a="1"/>
  <c r="C12" i="3"/>
  <c r="C2" i="3"/>
  <c r="C1" i="3"/>
  <c r="C121" i="3"/>
  <c r="C120" i="3"/>
  <c r="C119" i="3"/>
  <c r="C19" i="3"/>
  <c r="C13" i="3" a="1"/>
  <c r="C11" i="3"/>
  <c r="C10" i="3" a="1"/>
  <c r="C9" i="3" a="1"/>
  <c r="C3" i="3" a="1"/>
  <c r="A2" i="3"/>
  <c r="A3" i="3" s="1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" i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" i="1"/>
  <c r="M2" i="1" l="1"/>
  <c r="C20" i="3"/>
  <c r="C25" i="3" a="1"/>
  <c r="C2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<sst xmlns="http://schemas.openxmlformats.org/spreadsheetml/2006/main" count="1900" uniqueCount="396">
  <si>
    <t>Emp_ID</t>
  </si>
  <si>
    <t>Emp_Name</t>
  </si>
  <si>
    <t>Gender</t>
  </si>
  <si>
    <t>Department</t>
  </si>
  <si>
    <t>Designation</t>
  </si>
  <si>
    <t>Location</t>
  </si>
  <si>
    <t>Join_Date</t>
  </si>
  <si>
    <t>DOB</t>
  </si>
  <si>
    <t>Basic_Salary</t>
  </si>
  <si>
    <t>Allowance</t>
  </si>
  <si>
    <t>Bonus</t>
  </si>
  <si>
    <t>Experience_Years</t>
  </si>
  <si>
    <t>Attendance_%</t>
  </si>
  <si>
    <t>Rating</t>
  </si>
  <si>
    <t>Training_Hours</t>
  </si>
  <si>
    <t>Leave_Days</t>
  </si>
  <si>
    <t>Performance_Score</t>
  </si>
  <si>
    <t>Attrition_Status</t>
  </si>
  <si>
    <t>Promotion_Status</t>
  </si>
  <si>
    <t>Manager</t>
  </si>
  <si>
    <t>E1001</t>
  </si>
  <si>
    <t>Priya S</t>
  </si>
  <si>
    <t>Male</t>
  </si>
  <si>
    <t>Sales</t>
  </si>
  <si>
    <t>Executive</t>
  </si>
  <si>
    <t>Chennai</t>
  </si>
  <si>
    <t>No</t>
  </si>
  <si>
    <t>Manoj P</t>
  </si>
  <si>
    <t>E1002</t>
  </si>
  <si>
    <t>Anitha R</t>
  </si>
  <si>
    <t>Analyst</t>
  </si>
  <si>
    <t>Hyderabad</t>
  </si>
  <si>
    <t>Ravi Kumar</t>
  </si>
  <si>
    <t>E1003</t>
  </si>
  <si>
    <t>Meena M</t>
  </si>
  <si>
    <t>Female</t>
  </si>
  <si>
    <t>Finance</t>
  </si>
  <si>
    <t>Team Lead</t>
  </si>
  <si>
    <t>Yes</t>
  </si>
  <si>
    <t>Divya R</t>
  </si>
  <si>
    <t>E1004</t>
  </si>
  <si>
    <t>Manoj M</t>
  </si>
  <si>
    <t>Marketing</t>
  </si>
  <si>
    <t>Associate</t>
  </si>
  <si>
    <t>Bengaluru</t>
  </si>
  <si>
    <t>Karthik V</t>
  </si>
  <si>
    <t>E1005</t>
  </si>
  <si>
    <t>Kumar K</t>
  </si>
  <si>
    <t>Madurai</t>
  </si>
  <si>
    <t>Priya M</t>
  </si>
  <si>
    <t>E1006</t>
  </si>
  <si>
    <t>Priya V</t>
  </si>
  <si>
    <t>Mumbai</t>
  </si>
  <si>
    <t>E1007</t>
  </si>
  <si>
    <t>Vijay K</t>
  </si>
  <si>
    <t>E1008</t>
  </si>
  <si>
    <t>IT</t>
  </si>
  <si>
    <t>E1009</t>
  </si>
  <si>
    <t>Anitha V</t>
  </si>
  <si>
    <t>Operations</t>
  </si>
  <si>
    <t>E1010</t>
  </si>
  <si>
    <t>Sneha P</t>
  </si>
  <si>
    <t>E1011</t>
  </si>
  <si>
    <t>E1012</t>
  </si>
  <si>
    <t>HR</t>
  </si>
  <si>
    <t>Coimbatore</t>
  </si>
  <si>
    <t>E1013</t>
  </si>
  <si>
    <t>Rahul P</t>
  </si>
  <si>
    <t>E1014</t>
  </si>
  <si>
    <t>Arjun P</t>
  </si>
  <si>
    <t>E1015</t>
  </si>
  <si>
    <t>Vijay R</t>
  </si>
  <si>
    <t>E1016</t>
  </si>
  <si>
    <t>Ravi K</t>
  </si>
  <si>
    <t>E1017</t>
  </si>
  <si>
    <t>E1018</t>
  </si>
  <si>
    <t>Rahul S</t>
  </si>
  <si>
    <t>E1019</t>
  </si>
  <si>
    <t>Sneha M</t>
  </si>
  <si>
    <t>E1020</t>
  </si>
  <si>
    <t>Anitha S</t>
  </si>
  <si>
    <t>E1021</t>
  </si>
  <si>
    <t>Pooja P</t>
  </si>
  <si>
    <t>E1022</t>
  </si>
  <si>
    <t>Arjun K</t>
  </si>
  <si>
    <t>E1023</t>
  </si>
  <si>
    <t>Anitha M</t>
  </si>
  <si>
    <t>Lakshmi S</t>
  </si>
  <si>
    <t>E1024</t>
  </si>
  <si>
    <t>Divya M</t>
  </si>
  <si>
    <t>E1025</t>
  </si>
  <si>
    <t>Ravi V</t>
  </si>
  <si>
    <t>Senior Analyst</t>
  </si>
  <si>
    <t>E1026</t>
  </si>
  <si>
    <t>E1027</t>
  </si>
  <si>
    <t>Pooja S</t>
  </si>
  <si>
    <t>E1028</t>
  </si>
  <si>
    <t>E1029</t>
  </si>
  <si>
    <t>Arjun S</t>
  </si>
  <si>
    <t>E1030</t>
  </si>
  <si>
    <t>Vijay V</t>
  </si>
  <si>
    <t>E1031</t>
  </si>
  <si>
    <t>Asha K</t>
  </si>
  <si>
    <t>E1032</t>
  </si>
  <si>
    <t>Keerthana K</t>
  </si>
  <si>
    <t>E1033</t>
  </si>
  <si>
    <t>E1034</t>
  </si>
  <si>
    <t>Karthik K</t>
  </si>
  <si>
    <t>E1035</t>
  </si>
  <si>
    <t>E1036</t>
  </si>
  <si>
    <t>Vijay M</t>
  </si>
  <si>
    <t>E1037</t>
  </si>
  <si>
    <t>Manoj K</t>
  </si>
  <si>
    <t>E1038</t>
  </si>
  <si>
    <t>Rahul V</t>
  </si>
  <si>
    <t>E1039</t>
  </si>
  <si>
    <t>E1040</t>
  </si>
  <si>
    <t>Ravi R</t>
  </si>
  <si>
    <t>E1041</t>
  </si>
  <si>
    <t>E1042</t>
  </si>
  <si>
    <t>Anitha K</t>
  </si>
  <si>
    <t>E1043</t>
  </si>
  <si>
    <t>Manoj V</t>
  </si>
  <si>
    <t>E1044</t>
  </si>
  <si>
    <t>E1045</t>
  </si>
  <si>
    <t>Keerthana M</t>
  </si>
  <si>
    <t>E1046</t>
  </si>
  <si>
    <t>Keerthana S</t>
  </si>
  <si>
    <t>E1047</t>
  </si>
  <si>
    <t>Sneha S</t>
  </si>
  <si>
    <t>E1048</t>
  </si>
  <si>
    <t>Divya S</t>
  </si>
  <si>
    <t>E1049</t>
  </si>
  <si>
    <t>Ravi S</t>
  </si>
  <si>
    <t>E1050</t>
  </si>
  <si>
    <t>Meena R</t>
  </si>
  <si>
    <t>E1051</t>
  </si>
  <si>
    <t>E1052</t>
  </si>
  <si>
    <t>Kumar P</t>
  </si>
  <si>
    <t>E1053</t>
  </si>
  <si>
    <t>E1054</t>
  </si>
  <si>
    <t>Rahul R</t>
  </si>
  <si>
    <t>E1055</t>
  </si>
  <si>
    <t>E1056</t>
  </si>
  <si>
    <t>Asha V</t>
  </si>
  <si>
    <t>E1057</t>
  </si>
  <si>
    <t>Asha M</t>
  </si>
  <si>
    <t>E1058</t>
  </si>
  <si>
    <t>E1059</t>
  </si>
  <si>
    <t>Pooja V</t>
  </si>
  <si>
    <t>E1060</t>
  </si>
  <si>
    <t>Karthik R</t>
  </si>
  <si>
    <t>E1061</t>
  </si>
  <si>
    <t>Ajay S</t>
  </si>
  <si>
    <t>E1062</t>
  </si>
  <si>
    <t>E1063</t>
  </si>
  <si>
    <t>E1064</t>
  </si>
  <si>
    <t>Asha S</t>
  </si>
  <si>
    <t>E1065</t>
  </si>
  <si>
    <t>Sneha V</t>
  </si>
  <si>
    <t>E1066</t>
  </si>
  <si>
    <t>E1067</t>
  </si>
  <si>
    <t>Ajay M</t>
  </si>
  <si>
    <t>E1068</t>
  </si>
  <si>
    <t>Nisha S</t>
  </si>
  <si>
    <t>E1069</t>
  </si>
  <si>
    <t>E1070</t>
  </si>
  <si>
    <t>Asha P</t>
  </si>
  <si>
    <t>E1071</t>
  </si>
  <si>
    <t>Vignesh S</t>
  </si>
  <si>
    <t>E1072</t>
  </si>
  <si>
    <t>E1073</t>
  </si>
  <si>
    <t>E1074</t>
  </si>
  <si>
    <t>E1075</t>
  </si>
  <si>
    <t>E1076</t>
  </si>
  <si>
    <t>E1077</t>
  </si>
  <si>
    <t>E1078</t>
  </si>
  <si>
    <t>Anitha P</t>
  </si>
  <si>
    <t>E1079</t>
  </si>
  <si>
    <t>Lakshmi K</t>
  </si>
  <si>
    <t>E1080</t>
  </si>
  <si>
    <t>Asha R</t>
  </si>
  <si>
    <t>E1081</t>
  </si>
  <si>
    <t>Vijay S</t>
  </si>
  <si>
    <t>E1082</t>
  </si>
  <si>
    <t>E1083</t>
  </si>
  <si>
    <t>E1084</t>
  </si>
  <si>
    <t>Keerthana P</t>
  </si>
  <si>
    <t>E1085</t>
  </si>
  <si>
    <t>E1086</t>
  </si>
  <si>
    <t>E1087</t>
  </si>
  <si>
    <t>Kumar S</t>
  </si>
  <si>
    <t>E1088</t>
  </si>
  <si>
    <t>Meena K</t>
  </si>
  <si>
    <t>E1089</t>
  </si>
  <si>
    <t>E1090</t>
  </si>
  <si>
    <t>Lakshmi R</t>
  </si>
  <si>
    <t>E1091</t>
  </si>
  <si>
    <t>Sneha R</t>
  </si>
  <si>
    <t>E1092</t>
  </si>
  <si>
    <t>Nisha V</t>
  </si>
  <si>
    <t>E1093</t>
  </si>
  <si>
    <t>Divya P</t>
  </si>
  <si>
    <t>E1094</t>
  </si>
  <si>
    <t>Divya K</t>
  </si>
  <si>
    <t>E1095</t>
  </si>
  <si>
    <t>Kumar R</t>
  </si>
  <si>
    <t>E1096</t>
  </si>
  <si>
    <t>Meena V</t>
  </si>
  <si>
    <t>E1097</t>
  </si>
  <si>
    <t>Karthik P</t>
  </si>
  <si>
    <t>E1098</t>
  </si>
  <si>
    <t>Suresh S</t>
  </si>
  <si>
    <t>E1099</t>
  </si>
  <si>
    <t>E1100</t>
  </si>
  <si>
    <t>Priya K</t>
  </si>
  <si>
    <t>E1101</t>
  </si>
  <si>
    <t>Lakshmi V</t>
  </si>
  <si>
    <t>E1102</t>
  </si>
  <si>
    <t>E1103</t>
  </si>
  <si>
    <t>Ajay V</t>
  </si>
  <si>
    <t>E1104</t>
  </si>
  <si>
    <t>E1105</t>
  </si>
  <si>
    <t>E1106</t>
  </si>
  <si>
    <t>E1107</t>
  </si>
  <si>
    <t>E1108</t>
  </si>
  <si>
    <t>E1109</t>
  </si>
  <si>
    <t>Nisha R</t>
  </si>
  <si>
    <t>E1110</t>
  </si>
  <si>
    <t>E1111</t>
  </si>
  <si>
    <t>Divya V</t>
  </si>
  <si>
    <t>E1112</t>
  </si>
  <si>
    <t>Suresh R</t>
  </si>
  <si>
    <t>E1113</t>
  </si>
  <si>
    <t>Ravi M</t>
  </si>
  <si>
    <t>E1114</t>
  </si>
  <si>
    <t>E1115</t>
  </si>
  <si>
    <t>E1116</t>
  </si>
  <si>
    <t>Arjun R</t>
  </si>
  <si>
    <t>E1117</t>
  </si>
  <si>
    <t>E1118</t>
  </si>
  <si>
    <t>Vignesh M</t>
  </si>
  <si>
    <t>E1119</t>
  </si>
  <si>
    <t>E1120</t>
  </si>
  <si>
    <t>Ajay K</t>
  </si>
  <si>
    <t>E1121</t>
  </si>
  <si>
    <t>E1122</t>
  </si>
  <si>
    <t>E1123</t>
  </si>
  <si>
    <t>E1124</t>
  </si>
  <si>
    <t>E1125</t>
  </si>
  <si>
    <t>Ajay P</t>
  </si>
  <si>
    <t>E1126</t>
  </si>
  <si>
    <t>Manoj S</t>
  </si>
  <si>
    <t>E1127</t>
  </si>
  <si>
    <t>E1128</t>
  </si>
  <si>
    <t>Vignesh V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</si>
  <si>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</si>
  <si>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</si>
  <si>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</si>
  <si>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</si>
  <si>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</si>
  <si>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</si>
  <si>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</si>
  <si>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</si>
  <si>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</si>
  <si>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</si>
  <si>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Priya P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</si>
  <si>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</si>
  <si>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</si>
  <si>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</si>
  <si>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</si>
  <si>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</si>
  <si>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</si>
  <si>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</si>
  <si>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</si>
  <si>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</si>
  <si>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</si>
  <si>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</si>
  <si>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</si>
  <si>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</si>
  <si>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</si>
  <si>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Pooja R</t>
  </si>
  <si>
    <t>E1153</t>
  </si>
  <si>
    <t>Rahul K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</si>
  <si>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</si>
  <si>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</si>
  <si>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</si>
  <si>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</si>
  <si>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</si>
  <si>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</si>
  <si>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</si>
  <si>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</si>
  <si>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</si>
  <si>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</si>
  <si>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</si>
  <si>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Rahul M</t>
  </si>
  <si>
    <t>E1165</t>
  </si>
  <si>
    <t>E1166</t>
  </si>
  <si>
    <t>Manoj R</t>
  </si>
  <si>
    <t>E1167</t>
  </si>
  <si>
    <t>Meena P</t>
  </si>
  <si>
    <t>E1168</t>
  </si>
  <si>
    <t>E1169</t>
  </si>
  <si>
    <t>E1170</t>
  </si>
  <si>
    <t>E1171</t>
  </si>
  <si>
    <t>E1172</t>
  </si>
  <si>
    <t>E1173</t>
  </si>
  <si>
    <t>E1174</t>
  </si>
  <si>
    <t>Suresh V</t>
  </si>
  <si>
    <t>E1175</t>
  </si>
  <si>
    <t>E1176</t>
  </si>
  <si>
    <t>E1177</t>
  </si>
  <si>
    <t>E1178</t>
  </si>
  <si>
    <t>E1179</t>
  </si>
  <si>
    <t>Nisha K</t>
  </si>
  <si>
    <t>E1180</t>
  </si>
  <si>
    <t>E1181</t>
  </si>
  <si>
    <t>E1182</t>
  </si>
  <si>
    <t>E1183</t>
  </si>
  <si>
    <t>E1184</t>
  </si>
  <si>
    <t>Vignesh P</t>
  </si>
  <si>
    <t>E1185</t>
  </si>
  <si>
    <t>E1186</t>
  </si>
  <si>
    <t>E1187</t>
  </si>
  <si>
    <t>E1188</t>
  </si>
  <si>
    <t>E1189</t>
  </si>
  <si>
    <t>Lakshmi M</t>
  </si>
  <si>
    <t>E1190</t>
  </si>
  <si>
    <t>Kumar V</t>
  </si>
  <si>
    <t>E1191</t>
  </si>
  <si>
    <t>Lakshmi P</t>
  </si>
  <si>
    <t>E1192</t>
  </si>
  <si>
    <t>E1193</t>
  </si>
  <si>
    <t>E1194</t>
  </si>
  <si>
    <t>E1195</t>
  </si>
  <si>
    <t>Pooja K</t>
  </si>
  <si>
    <t>E1196</t>
  </si>
  <si>
    <t>E1197</t>
  </si>
  <si>
    <t>E1198</t>
  </si>
  <si>
    <t>E1199</t>
  </si>
  <si>
    <t>Nisha M</t>
  </si>
  <si>
    <t>E1200</t>
  </si>
  <si>
    <t>Which department has the highest number of employees?</t>
  </si>
  <si>
    <t>Calculate the Gross Salary of every employee.</t>
  </si>
  <si>
    <t>Identify employees receiving the highest bonus.</t>
  </si>
  <si>
    <t>Gross</t>
  </si>
  <si>
    <t>Annual Salary</t>
  </si>
  <si>
    <t>% Bonus</t>
  </si>
  <si>
    <t>How many employees are currently working in the organization?</t>
  </si>
  <si>
    <t>Identify the total number of departments in the company.</t>
  </si>
  <si>
    <t>List all unique job roles available in the organization.</t>
  </si>
  <si>
    <t>Which manager supervises the largest team?</t>
  </si>
  <si>
    <t>Find the employee who joined the organization most recently.</t>
  </si>
  <si>
    <t>Identify the oldest employee in the company.</t>
  </si>
  <si>
    <t>Determine the location having the maximum number of employees.</t>
  </si>
  <si>
    <t>Gross Salary = Basic Salary + Allowance + Bonus</t>
  </si>
  <si>
    <t>Calculate the Annual Salary of each employee.</t>
  </si>
  <si>
    <t>Calculate the total monthly payroll of the organization.</t>
  </si>
  <si>
    <t>Determine the average salary paid to employees.</t>
  </si>
  <si>
    <t>Find the highest and lowest salary in the organization.</t>
  </si>
  <si>
    <t>Calculate the total amount spent on employee bonuses.</t>
  </si>
  <si>
    <t>Calculate the total employee allowances paid.</t>
  </si>
  <si>
    <t>Identify employees earning above the organization's average salary.</t>
  </si>
  <si>
    <t>Calculate the average performance score of employees.</t>
  </si>
  <si>
    <t>Identify the employee with the highest performance score.</t>
  </si>
  <si>
    <t>Identify the employee with the lowest performance score.</t>
  </si>
  <si>
    <t>Identify employees eligible for appreciation based on Attendance greater than 95%.</t>
  </si>
  <si>
    <t>Calculate the average attendance percentage.</t>
  </si>
  <si>
    <t>Identify employees with attendance below 75%.</t>
  </si>
  <si>
    <t>Find employees having both excellent attendance and excellent performance.</t>
  </si>
  <si>
    <t>Calculate the percentage of Bonus received by each employee with respect to their Basic Salary.</t>
  </si>
  <si>
    <t>Classify employees as Top Performer if their Rating is 80% or above.</t>
  </si>
  <si>
    <t>Identify employees with attendance below 80%.</t>
  </si>
  <si>
    <t>Calculate the average employee experience.</t>
  </si>
  <si>
    <t>Years</t>
  </si>
  <si>
    <t>Years of Experince</t>
  </si>
  <si>
    <t>Identify newly hired employees with less than given years of experience.</t>
  </si>
  <si>
    <t>Years of Experience</t>
  </si>
  <si>
    <t>Identify employees having more than or equal to given years of experience.</t>
  </si>
  <si>
    <t>Added in the data sheet - Column L</t>
  </si>
  <si>
    <t>Added in the data sheet : Column M</t>
  </si>
  <si>
    <t>Added in the data sheet column N</t>
  </si>
  <si>
    <t>Highest Annual Salary</t>
  </si>
  <si>
    <t>Lowest Annual Salary</t>
  </si>
  <si>
    <t>Given %</t>
  </si>
  <si>
    <t>Classify employees as Top Performer if their Rating is above the given %</t>
  </si>
  <si>
    <t>Identify employees eligible for appreciation based on Attendance greater than given %.</t>
  </si>
  <si>
    <t xml:space="preserve">SALARY + BONUS </t>
  </si>
  <si>
    <t>GROSS *12</t>
  </si>
  <si>
    <t>=LET(</t>
  </si>
  <si>
    <t>Dept,emp_data!D2:D201,</t>
  </si>
  <si>
    <t>UniqueDept,UNIQUE(Dept),</t>
  </si>
  <si>
    <t>DeptCount,COUNTIF(Dept,UniqueDept),</t>
  </si>
  <si>
    <t>INDEX(UniqueDept,MATCH(MAX(DeptCount),DeptCount,0))</t>
  </si>
  <si>
    <t>)</t>
  </si>
  <si>
    <t>.=LET(dept,emp_data!D2:D201,Uniquedept,UNIQUE(dept),deptcount,COUNTIF(dept,UniqueDept),INDEX(Uniquedept),MATCH(MAX(deptcount),deptcount,0))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</si>
</sst>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0" fillId="33" borderId="0" xfId="0" applyFill="1"/>
    <xf numFmtId="10" fontId="0" fillId="0" borderId="0" xfId="42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2" fontId="0" fillId="0" borderId="0" xfId="0" applyNumberFormat="1" applyAlignment="1">
      <alignment horizontal="left"/>
    </xf>
    <xf numFmtId="0" fontId="0" fillId="34" borderId="0" xfId="0" applyFill="1"/>
    <xf numFmtId="0" fontId="0" fillId="34" borderId="0" xfId="0" applyFill="1" applyAlignment="1">
      <alignment wrapText="1"/>
    </xf>
    <xf numFmtId="0" fontId="0" fillId="34" borderId="0" xfId="0" applyFill="1" applyAlignment="1">
      <alignment horizontal="left"/>
    </xf>
    <xf numFmtId="0" fontId="0" fillId="35" borderId="0" xfId="0" applyFill="1"/>
    <xf numFmtId="0" fontId="0" fillId="33" borderId="0" xfId="0" applyFill="1" applyAlignment="1">
      <alignment horizontal="left"/>
    </xf>
    <xf numFmtId="0" fontId="0" fillId="33" borderId="0" xfId="0" applyFill="1" applyAlignment="1">
      <alignment wrapText="1"/>
    </xf>
    <xf numFmtId="2" fontId="0" fillId="36" borderId="0" xfId="0" applyNumberFormat="1" applyFill="1" applyAlignment="1">
      <alignment horizontal="right"/>
    </xf>
    <xf numFmtId="0" fontId="0" fillId="36" borderId="0" xfId="0" applyFill="1" applyAlignment="1">
      <alignment horizontal="left"/>
    </xf>
    <xf numFmtId="0" fontId="0" fillId="0" borderId="0" xfId="0" applyAlignment="1">
      <alignment horizontal="right"/>
    </xf>
    <xf numFmtId="0" fontId="0" fillId="36" borderId="0" xfId="0" applyFill="1" applyAlignment="1">
      <alignment horizontal="right"/>
    </xf>
    <xf numFmtId="0" fontId="0" fillId="35" borderId="0" xfId="0" quotePrefix="1" applyFill="1" applyAlignment="1">
      <alignment horizontal="left"/>
    </xf>
    <xf numFmtId="0" fontId="0" fillId="35" borderId="0" xfId="0" applyFill="1" applyAlignment="1">
      <alignment horizontal="left"/>
    </xf>
    <xf numFmtId="0" fontId="0" fillId="0" borderId="0" xfId="0" applyAlignment="1">
      <alignment horizontal="center" wrapText="1"/>
    </xf>
    <xf numFmtId="0" fontId="0" fillId="33" borderId="0" xfId="0" applyFill="1" applyAlignment="1">
      <alignment horizontal="center" wrapText="1"/>
    </xf>
    <xf numFmtId="2" fontId="0" fillId="35" borderId="0" xfId="0" applyNumberFormat="1" applyFill="1" applyAlignment="1">
      <alignment horizontal="left"/>
    </xf>
    <xf numFmtId="0" fontId="0" fillId="0" borderId="0" xfId="0" applyAlignment="1">
      <alignment horizontal="left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5FEBA-8668-45E2-8093-C79CAA25B206}">
  <dimension ref="A1:X201"/>
  <sheetViews>
    <sheetView topLeftCell="E1" zoomScale="115" zoomScaleNormal="115" workbookViewId="0">
      <pane ySplit="1" topLeftCell="A189" activePane="bottomLeft" state="frozen"/>
      <selection pane="bottomLeft" activeCell="U6" sqref="U6"/>
    </sheetView>
  </sheetViews>
  <sheetFormatPr defaultRowHeight="14.5" x14ac:dyDescent="0.35"/>
  <cols>
    <col min="1" max="1" width="7.453125" bestFit="1" customWidth="1"/>
    <col min="2" max="2" width="11.6328125" bestFit="1" customWidth="1"/>
    <col min="3" max="3" width="7" bestFit="1" customWidth="1"/>
    <col min="4" max="4" width="11.08984375" bestFit="1" customWidth="1"/>
    <col min="5" max="5" width="12.81640625" bestFit="1" customWidth="1"/>
    <col min="6" max="8" width="10.6328125" bestFit="1" customWidth="1"/>
    <col min="9" max="9" width="11.08984375" bestFit="1" customWidth="1"/>
    <col min="10" max="10" width="9.453125" bestFit="1" customWidth="1"/>
    <col min="11" max="11" width="6.1796875" bestFit="1" customWidth="1"/>
    <col min="12" max="14" width="12.81640625" customWidth="1"/>
    <col min="15" max="15" width="15.54296875" bestFit="1" customWidth="1"/>
    <col min="16" max="16" width="13" bestFit="1" customWidth="1"/>
    <col min="17" max="17" width="6.1796875" bestFit="1" customWidth="1"/>
    <col min="18" max="18" width="13.54296875" bestFit="1" customWidth="1"/>
    <col min="19" max="19" width="10.6328125" bestFit="1" customWidth="1"/>
    <col min="20" max="20" width="17.36328125" bestFit="1" customWidth="1"/>
    <col min="21" max="21" width="17.36328125" customWidth="1"/>
    <col min="22" max="22" width="14.1796875" bestFit="1" customWidth="1"/>
    <col min="23" max="23" width="16" bestFit="1" customWidth="1"/>
    <col min="24" max="24" width="10.36328125" bestFit="1" customWidth="1"/>
  </cols>
  <sheetData>
    <row r="1" spans="1:24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345</v>
      </c>
      <c r="M1" s="2" t="s">
        <v>346</v>
      </c>
      <c r="N1" s="2" t="s">
        <v>347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V1" s="2" t="s">
        <v>17</v>
      </c>
      <c r="W1" s="2" t="s">
        <v>18</v>
      </c>
      <c r="X1" s="2" t="s">
        <v>19</v>
      </c>
    </row>
    <row r="2" spans="1:24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1">
        <v>45439</v>
      </c>
      <c r="H2" s="1">
        <v>29846</v>
      </c>
      <c r="I2">
        <v>74692</v>
      </c>
      <c r="J2">
        <v>11785</v>
      </c>
      <c r="K2">
        <v>10213</v>
      </c>
      <c r="L2">
        <f>SUM(I2:K2)</f>
        <v>96690</v>
      </c>
      <c r="M2">
        <f>L2*12</f>
        <v>1160280</v>
      </c>
      <c r="N2" s="3">
        <f>K2/I2</f>
        <v>0.13673485781609812</v>
      </c>
      <c r="O2">
        <v>11</v>
      </c>
      <c r="P2">
        <v>90</v>
      </c>
      <c r="Q2">
        <v>1</v>
      </c>
      <c r="R2">
        <v>20</v>
      </c>
      <c r="S2">
        <v>4</v>
      </c>
      <c r="T2">
        <v>71</v>
      </c>
      <c r="V2" t="s">
        <v>26</v>
      </c>
      <c r="W2" t="s">
        <v>26</v>
      </c>
      <c r="X2" t="s">
        <v>27</v>
      </c>
    </row>
    <row r="3" spans="1:24" x14ac:dyDescent="0.35">
      <c r="A3" t="s">
        <v>28</v>
      </c>
      <c r="B3" t="s">
        <v>29</v>
      </c>
      <c r="C3" t="s">
        <v>22</v>
      </c>
      <c r="D3" t="s">
        <v>23</v>
      </c>
      <c r="E3" t="s">
        <v>30</v>
      </c>
      <c r="F3" t="s">
        <v>31</v>
      </c>
      <c r="G3" s="1">
        <v>43551</v>
      </c>
      <c r="H3" s="1">
        <v>30365</v>
      </c>
      <c r="I3">
        <v>25864</v>
      </c>
      <c r="J3">
        <v>8168</v>
      </c>
      <c r="K3">
        <v>12993</v>
      </c>
      <c r="L3">
        <f t="shared" ref="L3:L66" si="0">SUM(I3:K3)</f>
        <v>47025</v>
      </c>
      <c r="M3">
        <f t="shared" ref="M3:M66" si="1">L3*12</f>
        <v>564300</v>
      </c>
      <c r="N3" s="3">
        <f t="shared" ref="N3:N66" si="2">K3/I3</f>
        <v>0.50235849056603776</v>
      </c>
      <c r="O3">
        <v>15</v>
      </c>
      <c r="P3">
        <v>83</v>
      </c>
      <c r="Q3">
        <v>1</v>
      </c>
      <c r="R3">
        <v>11</v>
      </c>
      <c r="S3">
        <v>21</v>
      </c>
      <c r="T3">
        <v>59</v>
      </c>
      <c r="V3" t="s">
        <v>26</v>
      </c>
      <c r="W3" t="s">
        <v>26</v>
      </c>
      <c r="X3" t="s">
        <v>32</v>
      </c>
    </row>
    <row r="4" spans="1:24" x14ac:dyDescent="0.3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25</v>
      </c>
      <c r="G4" s="1">
        <v>45153</v>
      </c>
      <c r="H4" s="1">
        <v>34219</v>
      </c>
      <c r="I4">
        <v>70018</v>
      </c>
      <c r="J4">
        <v>11547</v>
      </c>
      <c r="K4">
        <v>14131</v>
      </c>
      <c r="L4">
        <f t="shared" si="0"/>
        <v>95696</v>
      </c>
      <c r="M4">
        <f t="shared" si="1"/>
        <v>1148352</v>
      </c>
      <c r="N4" s="3">
        <f t="shared" si="2"/>
        <v>0.20181953212031192</v>
      </c>
      <c r="O4">
        <v>16</v>
      </c>
      <c r="P4">
        <v>86</v>
      </c>
      <c r="Q4">
        <v>5</v>
      </c>
      <c r="R4">
        <v>67</v>
      </c>
      <c r="S4">
        <v>18</v>
      </c>
      <c r="T4">
        <v>70</v>
      </c>
      <c r="V4" t="s">
        <v>38</v>
      </c>
      <c r="W4" t="s">
        <v>26</v>
      </c>
      <c r="X4" t="s">
        <v>39</v>
      </c>
    </row>
    <row r="5" spans="1:24" x14ac:dyDescent="0.35">
      <c r="A5" t="s">
        <v>40</v>
      </c>
      <c r="B5" t="s">
        <v>41</v>
      </c>
      <c r="C5" t="s">
        <v>35</v>
      </c>
      <c r="D5" t="s">
        <v>42</v>
      </c>
      <c r="E5" t="s">
        <v>43</v>
      </c>
      <c r="F5" t="s">
        <v>44</v>
      </c>
      <c r="G5" s="1">
        <v>43539</v>
      </c>
      <c r="H5" s="1">
        <v>37577</v>
      </c>
      <c r="I5">
        <v>29173</v>
      </c>
      <c r="J5">
        <v>16882</v>
      </c>
      <c r="K5">
        <v>13356</v>
      </c>
      <c r="L5">
        <f t="shared" si="0"/>
        <v>59411</v>
      </c>
      <c r="M5">
        <f t="shared" si="1"/>
        <v>712932</v>
      </c>
      <c r="N5" s="3">
        <f t="shared" si="2"/>
        <v>0.457820587529565</v>
      </c>
      <c r="O5">
        <v>6</v>
      </c>
      <c r="P5">
        <v>82</v>
      </c>
      <c r="Q5">
        <v>4</v>
      </c>
      <c r="R5">
        <v>33</v>
      </c>
      <c r="S5">
        <v>5</v>
      </c>
      <c r="T5">
        <v>71</v>
      </c>
      <c r="V5" t="s">
        <v>26</v>
      </c>
      <c r="W5" t="s">
        <v>26</v>
      </c>
      <c r="X5" t="s">
        <v>45</v>
      </c>
    </row>
    <row r="6" spans="1:24" x14ac:dyDescent="0.35">
      <c r="A6" t="s">
        <v>46</v>
      </c>
      <c r="B6" t="s">
        <v>47</v>
      </c>
      <c r="C6" t="s">
        <v>35</v>
      </c>
      <c r="D6" t="s">
        <v>23</v>
      </c>
      <c r="E6" t="s">
        <v>19</v>
      </c>
      <c r="F6" t="s">
        <v>48</v>
      </c>
      <c r="G6" s="1">
        <v>42071</v>
      </c>
      <c r="H6" s="1">
        <v>32318</v>
      </c>
      <c r="I6">
        <v>36554</v>
      </c>
      <c r="J6">
        <v>16624</v>
      </c>
      <c r="K6">
        <v>11294</v>
      </c>
      <c r="L6">
        <f t="shared" si="0"/>
        <v>64472</v>
      </c>
      <c r="M6">
        <f t="shared" si="1"/>
        <v>773664</v>
      </c>
      <c r="N6" s="3">
        <f t="shared" si="2"/>
        <v>0.30896755485035837</v>
      </c>
      <c r="O6">
        <v>12</v>
      </c>
      <c r="P6">
        <v>80</v>
      </c>
      <c r="Q6">
        <v>3</v>
      </c>
      <c r="R6">
        <v>29</v>
      </c>
      <c r="S6">
        <v>12</v>
      </c>
      <c r="T6">
        <v>84</v>
      </c>
      <c r="V6" t="s">
        <v>26</v>
      </c>
      <c r="W6" t="s">
        <v>26</v>
      </c>
      <c r="X6" t="s">
        <v>49</v>
      </c>
    </row>
    <row r="7" spans="1:24" x14ac:dyDescent="0.35">
      <c r="A7" t="s">
        <v>50</v>
      </c>
      <c r="B7" t="s">
        <v>51</v>
      </c>
      <c r="C7" t="s">
        <v>35</v>
      </c>
      <c r="D7" t="s">
        <v>23</v>
      </c>
      <c r="E7" t="s">
        <v>43</v>
      </c>
      <c r="F7" t="s">
        <v>52</v>
      </c>
      <c r="G7" s="1">
        <v>42960</v>
      </c>
      <c r="H7" s="1">
        <v>38136</v>
      </c>
      <c r="I7">
        <v>88414</v>
      </c>
      <c r="J7">
        <v>5909</v>
      </c>
      <c r="K7">
        <v>3519</v>
      </c>
      <c r="L7">
        <f t="shared" si="0"/>
        <v>97842</v>
      </c>
      <c r="M7">
        <f t="shared" si="1"/>
        <v>1174104</v>
      </c>
      <c r="N7" s="3">
        <f t="shared" si="2"/>
        <v>3.9801388920306741E-2</v>
      </c>
      <c r="O7">
        <v>18</v>
      </c>
      <c r="P7">
        <v>94</v>
      </c>
      <c r="Q7">
        <v>4</v>
      </c>
      <c r="R7">
        <v>59</v>
      </c>
      <c r="S7">
        <v>1</v>
      </c>
      <c r="T7">
        <v>50</v>
      </c>
      <c r="V7" t="s">
        <v>26</v>
      </c>
      <c r="W7" t="s">
        <v>26</v>
      </c>
      <c r="X7" t="s">
        <v>39</v>
      </c>
    </row>
    <row r="8" spans="1:24" x14ac:dyDescent="0.35">
      <c r="A8" t="s">
        <v>53</v>
      </c>
      <c r="B8" t="s">
        <v>54</v>
      </c>
      <c r="C8" t="s">
        <v>35</v>
      </c>
      <c r="D8" t="s">
        <v>36</v>
      </c>
      <c r="E8" t="s">
        <v>43</v>
      </c>
      <c r="F8" t="s">
        <v>48</v>
      </c>
      <c r="G8" s="1">
        <v>43783</v>
      </c>
      <c r="H8" s="1">
        <v>36108</v>
      </c>
      <c r="I8">
        <v>25046</v>
      </c>
      <c r="J8">
        <v>4779</v>
      </c>
      <c r="K8">
        <v>11118</v>
      </c>
      <c r="L8">
        <f t="shared" si="0"/>
        <v>40943</v>
      </c>
      <c r="M8">
        <f t="shared" si="1"/>
        <v>491316</v>
      </c>
      <c r="N8" s="3">
        <f t="shared" si="2"/>
        <v>0.44390321807873512</v>
      </c>
      <c r="O8">
        <v>3</v>
      </c>
      <c r="P8">
        <v>96</v>
      </c>
      <c r="Q8">
        <v>3</v>
      </c>
      <c r="R8">
        <v>11</v>
      </c>
      <c r="S8">
        <v>2</v>
      </c>
      <c r="T8">
        <v>77</v>
      </c>
      <c r="V8" t="s">
        <v>38</v>
      </c>
      <c r="W8" t="s">
        <v>26</v>
      </c>
      <c r="X8" t="s">
        <v>45</v>
      </c>
    </row>
    <row r="9" spans="1:24" x14ac:dyDescent="0.35">
      <c r="A9" t="s">
        <v>55</v>
      </c>
      <c r="B9" t="s">
        <v>47</v>
      </c>
      <c r="C9" t="s">
        <v>35</v>
      </c>
      <c r="D9" t="s">
        <v>56</v>
      </c>
      <c r="E9" t="s">
        <v>24</v>
      </c>
      <c r="F9" t="s">
        <v>48</v>
      </c>
      <c r="G9" s="1">
        <v>43940</v>
      </c>
      <c r="H9" s="1">
        <v>29762</v>
      </c>
      <c r="I9">
        <v>98608</v>
      </c>
      <c r="J9">
        <v>8485</v>
      </c>
      <c r="K9">
        <v>7784</v>
      </c>
      <c r="L9">
        <f t="shared" si="0"/>
        <v>114877</v>
      </c>
      <c r="M9">
        <f t="shared" si="1"/>
        <v>1378524</v>
      </c>
      <c r="N9" s="3">
        <f t="shared" si="2"/>
        <v>7.8938828492617227E-2</v>
      </c>
      <c r="O9">
        <v>12</v>
      </c>
      <c r="P9">
        <v>80</v>
      </c>
      <c r="Q9">
        <v>2</v>
      </c>
      <c r="R9">
        <v>53</v>
      </c>
      <c r="S9">
        <v>2</v>
      </c>
      <c r="T9">
        <v>95</v>
      </c>
      <c r="V9" t="s">
        <v>26</v>
      </c>
      <c r="W9" t="s">
        <v>26</v>
      </c>
      <c r="X9" t="s">
        <v>27</v>
      </c>
    </row>
    <row r="10" spans="1:24" x14ac:dyDescent="0.35">
      <c r="A10" t="s">
        <v>57</v>
      </c>
      <c r="B10" t="s">
        <v>58</v>
      </c>
      <c r="C10" t="s">
        <v>22</v>
      </c>
      <c r="D10" t="s">
        <v>59</v>
      </c>
      <c r="E10" t="s">
        <v>30</v>
      </c>
      <c r="F10" t="s">
        <v>31</v>
      </c>
      <c r="G10" s="1">
        <v>43591</v>
      </c>
      <c r="H10" s="1">
        <v>38027</v>
      </c>
      <c r="I10">
        <v>65129</v>
      </c>
      <c r="J10">
        <v>5394</v>
      </c>
      <c r="K10">
        <v>11746</v>
      </c>
      <c r="L10">
        <f t="shared" si="0"/>
        <v>82269</v>
      </c>
      <c r="M10">
        <f t="shared" si="1"/>
        <v>987228</v>
      </c>
      <c r="N10" s="3">
        <f t="shared" si="2"/>
        <v>0.18034976738472877</v>
      </c>
      <c r="O10">
        <v>10</v>
      </c>
      <c r="P10">
        <v>92</v>
      </c>
      <c r="Q10">
        <v>3</v>
      </c>
      <c r="R10">
        <v>16</v>
      </c>
      <c r="S10">
        <v>17</v>
      </c>
      <c r="T10">
        <v>71</v>
      </c>
      <c r="V10" t="s">
        <v>26</v>
      </c>
      <c r="W10" t="s">
        <v>26</v>
      </c>
      <c r="X10" t="s">
        <v>32</v>
      </c>
    </row>
    <row r="11" spans="1:24" x14ac:dyDescent="0.35">
      <c r="A11" t="s">
        <v>60</v>
      </c>
      <c r="B11" t="s">
        <v>61</v>
      </c>
      <c r="C11" t="s">
        <v>35</v>
      </c>
      <c r="D11" t="s">
        <v>23</v>
      </c>
      <c r="E11" t="s">
        <v>30</v>
      </c>
      <c r="F11" t="s">
        <v>52</v>
      </c>
      <c r="G11" s="1">
        <v>42562</v>
      </c>
      <c r="H11" s="1">
        <v>36671</v>
      </c>
      <c r="I11">
        <v>27701</v>
      </c>
      <c r="J11">
        <v>8726</v>
      </c>
      <c r="K11">
        <v>8368</v>
      </c>
      <c r="L11">
        <f t="shared" si="0"/>
        <v>44795</v>
      </c>
      <c r="M11">
        <f t="shared" si="1"/>
        <v>537540</v>
      </c>
      <c r="N11" s="3">
        <f t="shared" si="2"/>
        <v>0.30208295729396051</v>
      </c>
      <c r="O11">
        <v>15</v>
      </c>
      <c r="P11">
        <v>89</v>
      </c>
      <c r="Q11">
        <v>4</v>
      </c>
      <c r="R11">
        <v>3</v>
      </c>
      <c r="S11">
        <v>5</v>
      </c>
      <c r="T11">
        <v>83</v>
      </c>
      <c r="V11" t="s">
        <v>26</v>
      </c>
      <c r="W11" t="s">
        <v>26</v>
      </c>
      <c r="X11" t="s">
        <v>45</v>
      </c>
    </row>
    <row r="12" spans="1:24" x14ac:dyDescent="0.35">
      <c r="A12" t="s">
        <v>62</v>
      </c>
      <c r="B12" t="s">
        <v>27</v>
      </c>
      <c r="C12" t="s">
        <v>22</v>
      </c>
      <c r="D12" t="s">
        <v>36</v>
      </c>
      <c r="E12" t="s">
        <v>19</v>
      </c>
      <c r="F12" t="s">
        <v>25</v>
      </c>
      <c r="G12" s="1">
        <v>44239</v>
      </c>
      <c r="H12" s="1">
        <v>35266</v>
      </c>
      <c r="I12">
        <v>54478</v>
      </c>
      <c r="J12">
        <v>17638</v>
      </c>
      <c r="K12">
        <v>10341</v>
      </c>
      <c r="L12">
        <f t="shared" si="0"/>
        <v>82457</v>
      </c>
      <c r="M12">
        <f t="shared" si="1"/>
        <v>989484</v>
      </c>
      <c r="N12" s="3">
        <f t="shared" si="2"/>
        <v>0.18981974374977054</v>
      </c>
      <c r="O12">
        <v>11</v>
      </c>
      <c r="P12">
        <v>82</v>
      </c>
      <c r="Q12">
        <v>3</v>
      </c>
      <c r="R12">
        <v>64</v>
      </c>
      <c r="S12">
        <v>7</v>
      </c>
      <c r="T12">
        <v>63</v>
      </c>
      <c r="V12" t="s">
        <v>26</v>
      </c>
      <c r="W12" t="s">
        <v>26</v>
      </c>
      <c r="X12" t="s">
        <v>27</v>
      </c>
    </row>
    <row r="13" spans="1:24" x14ac:dyDescent="0.35">
      <c r="A13" t="s">
        <v>63</v>
      </c>
      <c r="B13" t="s">
        <v>47</v>
      </c>
      <c r="C13" t="s">
        <v>22</v>
      </c>
      <c r="D13" t="s">
        <v>64</v>
      </c>
      <c r="E13" t="s">
        <v>19</v>
      </c>
      <c r="F13" t="s">
        <v>65</v>
      </c>
      <c r="G13" s="1">
        <v>45110</v>
      </c>
      <c r="H13" s="1">
        <v>29502</v>
      </c>
      <c r="I13">
        <v>50449</v>
      </c>
      <c r="J13">
        <v>7395</v>
      </c>
      <c r="K13">
        <v>10250</v>
      </c>
      <c r="L13">
        <f t="shared" si="0"/>
        <v>68094</v>
      </c>
      <c r="M13">
        <f t="shared" si="1"/>
        <v>817128</v>
      </c>
      <c r="N13" s="3">
        <f t="shared" si="2"/>
        <v>0.20317548415231224</v>
      </c>
      <c r="O13">
        <v>8</v>
      </c>
      <c r="P13">
        <v>82</v>
      </c>
      <c r="Q13">
        <v>5</v>
      </c>
      <c r="R13">
        <v>40</v>
      </c>
      <c r="S13">
        <v>2</v>
      </c>
      <c r="T13">
        <v>71</v>
      </c>
      <c r="V13" t="s">
        <v>26</v>
      </c>
      <c r="W13" t="s">
        <v>26</v>
      </c>
      <c r="X13" t="s">
        <v>45</v>
      </c>
    </row>
    <row r="14" spans="1:24" x14ac:dyDescent="0.35">
      <c r="A14" t="s">
        <v>66</v>
      </c>
      <c r="B14" t="s">
        <v>67</v>
      </c>
      <c r="C14" t="s">
        <v>22</v>
      </c>
      <c r="D14" t="s">
        <v>23</v>
      </c>
      <c r="E14" t="s">
        <v>37</v>
      </c>
      <c r="F14" t="s">
        <v>52</v>
      </c>
      <c r="G14" s="1">
        <v>43636</v>
      </c>
      <c r="H14" s="1">
        <v>29683</v>
      </c>
      <c r="I14">
        <v>58666</v>
      </c>
      <c r="J14">
        <v>14694</v>
      </c>
      <c r="K14">
        <v>14644</v>
      </c>
      <c r="L14">
        <f t="shared" si="0"/>
        <v>88004</v>
      </c>
      <c r="M14">
        <f t="shared" si="1"/>
        <v>1056048</v>
      </c>
      <c r="N14" s="3">
        <f t="shared" si="2"/>
        <v>0.24961647291446493</v>
      </c>
      <c r="O14">
        <v>19</v>
      </c>
      <c r="P14">
        <v>95</v>
      </c>
      <c r="Q14">
        <v>3</v>
      </c>
      <c r="R14">
        <v>50</v>
      </c>
      <c r="S14">
        <v>7</v>
      </c>
      <c r="T14">
        <v>82</v>
      </c>
      <c r="V14" t="s">
        <v>26</v>
      </c>
      <c r="W14" t="s">
        <v>26</v>
      </c>
      <c r="X14" t="s">
        <v>45</v>
      </c>
    </row>
    <row r="15" spans="1:24" x14ac:dyDescent="0.35">
      <c r="A15" t="s">
        <v>68</v>
      </c>
      <c r="B15" t="s">
        <v>69</v>
      </c>
      <c r="C15" t="s">
        <v>35</v>
      </c>
      <c r="D15" t="s">
        <v>36</v>
      </c>
      <c r="E15" t="s">
        <v>43</v>
      </c>
      <c r="F15" t="s">
        <v>31</v>
      </c>
      <c r="G15" s="1">
        <v>42506</v>
      </c>
      <c r="H15" s="1">
        <v>30080</v>
      </c>
      <c r="I15">
        <v>72270</v>
      </c>
      <c r="J15">
        <v>17117</v>
      </c>
      <c r="K15">
        <v>8549</v>
      </c>
      <c r="L15">
        <f t="shared" si="0"/>
        <v>97936</v>
      </c>
      <c r="M15">
        <f t="shared" si="1"/>
        <v>1175232</v>
      </c>
      <c r="N15" s="3">
        <f t="shared" si="2"/>
        <v>0.11829251418292515</v>
      </c>
      <c r="O15">
        <v>12</v>
      </c>
      <c r="P15">
        <v>93</v>
      </c>
      <c r="Q15">
        <v>3</v>
      </c>
      <c r="R15">
        <v>45</v>
      </c>
      <c r="S15">
        <v>6</v>
      </c>
      <c r="T15">
        <v>99</v>
      </c>
      <c r="V15" t="s">
        <v>26</v>
      </c>
      <c r="W15" t="s">
        <v>26</v>
      </c>
      <c r="X15" t="s">
        <v>27</v>
      </c>
    </row>
    <row r="16" spans="1:24" x14ac:dyDescent="0.35">
      <c r="A16" t="s">
        <v>70</v>
      </c>
      <c r="B16" t="s">
        <v>71</v>
      </c>
      <c r="C16" t="s">
        <v>35</v>
      </c>
      <c r="D16" t="s">
        <v>56</v>
      </c>
      <c r="E16" t="s">
        <v>37</v>
      </c>
      <c r="F16" t="s">
        <v>44</v>
      </c>
      <c r="G16" s="1">
        <v>44054</v>
      </c>
      <c r="H16" s="1">
        <v>33570</v>
      </c>
      <c r="I16">
        <v>47921</v>
      </c>
      <c r="J16">
        <v>17030</v>
      </c>
      <c r="K16">
        <v>10159</v>
      </c>
      <c r="L16">
        <f t="shared" si="0"/>
        <v>75110</v>
      </c>
      <c r="M16">
        <f t="shared" si="1"/>
        <v>901320</v>
      </c>
      <c r="N16" s="3">
        <f t="shared" si="2"/>
        <v>0.21199474134513052</v>
      </c>
      <c r="O16">
        <v>13</v>
      </c>
      <c r="P16">
        <v>91</v>
      </c>
      <c r="Q16">
        <v>1</v>
      </c>
      <c r="R16">
        <v>37</v>
      </c>
      <c r="S16">
        <v>3</v>
      </c>
      <c r="T16">
        <v>66</v>
      </c>
      <c r="V16" t="s">
        <v>26</v>
      </c>
      <c r="W16" t="s">
        <v>26</v>
      </c>
      <c r="X16" t="s">
        <v>45</v>
      </c>
    </row>
    <row r="17" spans="1:24" x14ac:dyDescent="0.35">
      <c r="A17" t="s">
        <v>72</v>
      </c>
      <c r="B17" t="s">
        <v>73</v>
      </c>
      <c r="C17" t="s">
        <v>35</v>
      </c>
      <c r="D17" t="s">
        <v>56</v>
      </c>
      <c r="E17" t="s">
        <v>19</v>
      </c>
      <c r="F17" t="s">
        <v>44</v>
      </c>
      <c r="G17" s="1">
        <v>43227</v>
      </c>
      <c r="H17" s="1">
        <v>30981</v>
      </c>
      <c r="I17">
        <v>86020</v>
      </c>
      <c r="J17">
        <v>12396</v>
      </c>
      <c r="K17">
        <v>13543</v>
      </c>
      <c r="L17">
        <f t="shared" si="0"/>
        <v>111959</v>
      </c>
      <c r="M17">
        <f t="shared" si="1"/>
        <v>1343508</v>
      </c>
      <c r="N17" s="3">
        <f t="shared" si="2"/>
        <v>0.15744013020227854</v>
      </c>
      <c r="O17">
        <v>11</v>
      </c>
      <c r="P17">
        <v>87</v>
      </c>
      <c r="Q17">
        <v>4</v>
      </c>
      <c r="R17">
        <v>34</v>
      </c>
      <c r="S17">
        <v>14</v>
      </c>
      <c r="T17">
        <v>86</v>
      </c>
      <c r="V17" t="s">
        <v>26</v>
      </c>
      <c r="W17" t="s">
        <v>26</v>
      </c>
      <c r="X17" t="s">
        <v>27</v>
      </c>
    </row>
    <row r="18" spans="1:24" x14ac:dyDescent="0.35">
      <c r="A18" t="s">
        <v>74</v>
      </c>
      <c r="B18" t="s">
        <v>58</v>
      </c>
      <c r="C18" t="s">
        <v>35</v>
      </c>
      <c r="D18" t="s">
        <v>42</v>
      </c>
      <c r="E18" t="s">
        <v>19</v>
      </c>
      <c r="F18" t="s">
        <v>48</v>
      </c>
      <c r="G18" s="1">
        <v>43386</v>
      </c>
      <c r="H18" s="1">
        <v>30020</v>
      </c>
      <c r="I18">
        <v>48882</v>
      </c>
      <c r="J18">
        <v>5020</v>
      </c>
      <c r="K18">
        <v>1326</v>
      </c>
      <c r="L18">
        <f t="shared" si="0"/>
        <v>55228</v>
      </c>
      <c r="M18">
        <f t="shared" si="1"/>
        <v>662736</v>
      </c>
      <c r="N18" s="3">
        <f t="shared" si="2"/>
        <v>2.7126549650177981E-2</v>
      </c>
      <c r="O18">
        <v>14</v>
      </c>
      <c r="P18">
        <v>95</v>
      </c>
      <c r="Q18">
        <v>2</v>
      </c>
      <c r="R18">
        <v>61</v>
      </c>
      <c r="S18">
        <v>17</v>
      </c>
      <c r="T18">
        <v>52</v>
      </c>
      <c r="V18" t="s">
        <v>26</v>
      </c>
      <c r="W18" t="s">
        <v>26</v>
      </c>
      <c r="X18" t="s">
        <v>45</v>
      </c>
    </row>
    <row r="19" spans="1:24" x14ac:dyDescent="0.35">
      <c r="A19" t="s">
        <v>75</v>
      </c>
      <c r="B19" t="s">
        <v>76</v>
      </c>
      <c r="C19" t="s">
        <v>35</v>
      </c>
      <c r="D19" t="s">
        <v>64</v>
      </c>
      <c r="E19" t="s">
        <v>19</v>
      </c>
      <c r="F19" t="s">
        <v>25</v>
      </c>
      <c r="G19" s="1">
        <v>43903</v>
      </c>
      <c r="H19" s="1">
        <v>37480</v>
      </c>
      <c r="I19">
        <v>62841</v>
      </c>
      <c r="J19">
        <v>14562</v>
      </c>
      <c r="K19">
        <v>10504</v>
      </c>
      <c r="L19">
        <f t="shared" si="0"/>
        <v>87907</v>
      </c>
      <c r="M19">
        <f t="shared" si="1"/>
        <v>1054884</v>
      </c>
      <c r="N19" s="3">
        <f t="shared" si="2"/>
        <v>0.16715201858659157</v>
      </c>
      <c r="O19">
        <v>1</v>
      </c>
      <c r="P19">
        <v>90</v>
      </c>
      <c r="Q19">
        <v>4</v>
      </c>
      <c r="R19">
        <v>29</v>
      </c>
      <c r="S19">
        <v>22</v>
      </c>
      <c r="T19">
        <v>54</v>
      </c>
      <c r="V19" t="s">
        <v>26</v>
      </c>
      <c r="W19" t="s">
        <v>26</v>
      </c>
      <c r="X19" t="s">
        <v>27</v>
      </c>
    </row>
    <row r="20" spans="1:24" x14ac:dyDescent="0.35">
      <c r="A20" t="s">
        <v>77</v>
      </c>
      <c r="B20" t="s">
        <v>78</v>
      </c>
      <c r="C20" t="s">
        <v>35</v>
      </c>
      <c r="D20" t="s">
        <v>23</v>
      </c>
      <c r="E20" t="s">
        <v>30</v>
      </c>
      <c r="F20" t="s">
        <v>31</v>
      </c>
      <c r="G20" s="1">
        <v>42058</v>
      </c>
      <c r="H20" s="1">
        <v>37360</v>
      </c>
      <c r="I20">
        <v>46596</v>
      </c>
      <c r="J20">
        <v>6247</v>
      </c>
      <c r="K20">
        <v>1763</v>
      </c>
      <c r="L20">
        <f t="shared" si="0"/>
        <v>54606</v>
      </c>
      <c r="M20">
        <f t="shared" si="1"/>
        <v>655272</v>
      </c>
      <c r="N20" s="3">
        <f t="shared" si="2"/>
        <v>3.783586573954846E-2</v>
      </c>
      <c r="O20">
        <v>9</v>
      </c>
      <c r="P20">
        <v>96</v>
      </c>
      <c r="Q20">
        <v>2</v>
      </c>
      <c r="R20">
        <v>67</v>
      </c>
      <c r="S20">
        <v>6</v>
      </c>
      <c r="T20">
        <v>69</v>
      </c>
      <c r="V20" t="s">
        <v>26</v>
      </c>
      <c r="W20" t="s">
        <v>26</v>
      </c>
      <c r="X20" t="s">
        <v>39</v>
      </c>
    </row>
    <row r="21" spans="1:24" x14ac:dyDescent="0.35">
      <c r="A21" t="s">
        <v>79</v>
      </c>
      <c r="B21" t="s">
        <v>80</v>
      </c>
      <c r="C21" t="s">
        <v>22</v>
      </c>
      <c r="D21" t="s">
        <v>56</v>
      </c>
      <c r="E21" t="s">
        <v>37</v>
      </c>
      <c r="F21" t="s">
        <v>31</v>
      </c>
      <c r="G21" s="1">
        <v>44237</v>
      </c>
      <c r="H21" s="1">
        <v>33797</v>
      </c>
      <c r="I21">
        <v>50598</v>
      </c>
      <c r="J21">
        <v>11531</v>
      </c>
      <c r="K21">
        <v>2110</v>
      </c>
      <c r="L21">
        <f t="shared" si="0"/>
        <v>64239</v>
      </c>
      <c r="M21">
        <f t="shared" si="1"/>
        <v>770868</v>
      </c>
      <c r="N21" s="3">
        <f t="shared" si="2"/>
        <v>4.1701253013953124E-2</v>
      </c>
      <c r="O21">
        <v>13</v>
      </c>
      <c r="P21">
        <v>93</v>
      </c>
      <c r="Q21">
        <v>4</v>
      </c>
      <c r="R21">
        <v>14</v>
      </c>
      <c r="S21">
        <v>1</v>
      </c>
      <c r="T21">
        <v>86</v>
      </c>
      <c r="V21" t="s">
        <v>26</v>
      </c>
      <c r="W21" t="s">
        <v>26</v>
      </c>
      <c r="X21" t="s">
        <v>49</v>
      </c>
    </row>
    <row r="22" spans="1:24" x14ac:dyDescent="0.35">
      <c r="A22" t="s">
        <v>81</v>
      </c>
      <c r="B22" t="s">
        <v>82</v>
      </c>
      <c r="C22" t="s">
        <v>35</v>
      </c>
      <c r="D22" t="s">
        <v>64</v>
      </c>
      <c r="E22" t="s">
        <v>37</v>
      </c>
      <c r="F22" t="s">
        <v>65</v>
      </c>
      <c r="G22" s="1">
        <v>42801</v>
      </c>
      <c r="H22" s="1">
        <v>32688</v>
      </c>
      <c r="I22">
        <v>56629</v>
      </c>
      <c r="J22">
        <v>3615</v>
      </c>
      <c r="K22">
        <v>5005</v>
      </c>
      <c r="L22">
        <f t="shared" si="0"/>
        <v>65249</v>
      </c>
      <c r="M22">
        <f t="shared" si="1"/>
        <v>782988</v>
      </c>
      <c r="N22" s="3">
        <f t="shared" si="2"/>
        <v>8.8382277631602182E-2</v>
      </c>
      <c r="O22">
        <v>7</v>
      </c>
      <c r="P22">
        <v>82</v>
      </c>
      <c r="Q22">
        <v>4</v>
      </c>
      <c r="R22">
        <v>3</v>
      </c>
      <c r="S22">
        <v>0</v>
      </c>
      <c r="T22">
        <v>76</v>
      </c>
      <c r="V22" t="s">
        <v>26</v>
      </c>
      <c r="W22" t="s">
        <v>26</v>
      </c>
      <c r="X22" t="s">
        <v>45</v>
      </c>
    </row>
    <row r="23" spans="1:24" x14ac:dyDescent="0.35">
      <c r="A23" t="s">
        <v>83</v>
      </c>
      <c r="B23" t="s">
        <v>84</v>
      </c>
      <c r="C23" t="s">
        <v>22</v>
      </c>
      <c r="D23" t="s">
        <v>59</v>
      </c>
      <c r="E23" t="s">
        <v>37</v>
      </c>
      <c r="F23" t="s">
        <v>52</v>
      </c>
      <c r="G23" s="1">
        <v>43198</v>
      </c>
      <c r="H23" s="1">
        <v>32267</v>
      </c>
      <c r="I23">
        <v>64870</v>
      </c>
      <c r="J23">
        <v>4846</v>
      </c>
      <c r="K23">
        <v>5629</v>
      </c>
      <c r="L23">
        <f t="shared" si="0"/>
        <v>75345</v>
      </c>
      <c r="M23">
        <f t="shared" si="1"/>
        <v>904140</v>
      </c>
      <c r="N23" s="3">
        <f t="shared" si="2"/>
        <v>8.6773547094188372E-2</v>
      </c>
      <c r="O23">
        <v>11</v>
      </c>
      <c r="P23">
        <v>86</v>
      </c>
      <c r="Q23">
        <v>5</v>
      </c>
      <c r="R23">
        <v>3</v>
      </c>
      <c r="S23">
        <v>23</v>
      </c>
      <c r="T23">
        <v>73</v>
      </c>
      <c r="V23" t="s">
        <v>26</v>
      </c>
      <c r="W23" t="s">
        <v>26</v>
      </c>
      <c r="X23" t="s">
        <v>39</v>
      </c>
    </row>
    <row r="24" spans="1:24" x14ac:dyDescent="0.35">
      <c r="A24" t="s">
        <v>85</v>
      </c>
      <c r="B24" t="s">
        <v>86</v>
      </c>
      <c r="C24" t="s">
        <v>22</v>
      </c>
      <c r="D24" t="s">
        <v>42</v>
      </c>
      <c r="E24" t="s">
        <v>43</v>
      </c>
      <c r="F24" t="s">
        <v>44</v>
      </c>
      <c r="G24" s="1">
        <v>43605</v>
      </c>
      <c r="H24" s="1">
        <v>32316</v>
      </c>
      <c r="I24">
        <v>76129</v>
      </c>
      <c r="J24">
        <v>4262</v>
      </c>
      <c r="K24">
        <v>9141</v>
      </c>
      <c r="L24">
        <f t="shared" si="0"/>
        <v>89532</v>
      </c>
      <c r="M24">
        <f t="shared" si="1"/>
        <v>1074384</v>
      </c>
      <c r="N24" s="3">
        <f t="shared" si="2"/>
        <v>0.12007250850530021</v>
      </c>
      <c r="O24">
        <v>2</v>
      </c>
      <c r="P24">
        <v>89</v>
      </c>
      <c r="Q24">
        <v>2</v>
      </c>
      <c r="R24">
        <v>60</v>
      </c>
      <c r="S24">
        <v>23</v>
      </c>
      <c r="T24">
        <v>96</v>
      </c>
      <c r="V24" t="s">
        <v>38</v>
      </c>
      <c r="W24" t="s">
        <v>26</v>
      </c>
      <c r="X24" t="s">
        <v>87</v>
      </c>
    </row>
    <row r="25" spans="1:24" x14ac:dyDescent="0.35">
      <c r="A25" t="s">
        <v>88</v>
      </c>
      <c r="B25" t="s">
        <v>89</v>
      </c>
      <c r="C25" t="s">
        <v>35</v>
      </c>
      <c r="D25" t="s">
        <v>42</v>
      </c>
      <c r="E25" t="s">
        <v>19</v>
      </c>
      <c r="F25" t="s">
        <v>25</v>
      </c>
      <c r="G25" s="1">
        <v>43827</v>
      </c>
      <c r="H25" s="1">
        <v>37754</v>
      </c>
      <c r="I25">
        <v>71269</v>
      </c>
      <c r="J25">
        <v>7730</v>
      </c>
      <c r="K25">
        <v>6943</v>
      </c>
      <c r="L25">
        <f t="shared" si="0"/>
        <v>85942</v>
      </c>
      <c r="M25">
        <f t="shared" si="1"/>
        <v>1031304</v>
      </c>
      <c r="N25" s="3">
        <f t="shared" si="2"/>
        <v>9.7419635465630219E-2</v>
      </c>
      <c r="O25">
        <v>7</v>
      </c>
      <c r="P25">
        <v>92</v>
      </c>
      <c r="Q25">
        <v>1</v>
      </c>
      <c r="R25">
        <v>13</v>
      </c>
      <c r="S25">
        <v>16</v>
      </c>
      <c r="T25">
        <v>98</v>
      </c>
      <c r="V25" t="s">
        <v>38</v>
      </c>
      <c r="W25" t="s">
        <v>26</v>
      </c>
      <c r="X25" t="s">
        <v>45</v>
      </c>
    </row>
    <row r="26" spans="1:24" x14ac:dyDescent="0.35">
      <c r="A26" t="s">
        <v>90</v>
      </c>
      <c r="B26" t="s">
        <v>91</v>
      </c>
      <c r="C26" t="s">
        <v>22</v>
      </c>
      <c r="D26" t="s">
        <v>59</v>
      </c>
      <c r="E26" t="s">
        <v>92</v>
      </c>
      <c r="F26" t="s">
        <v>44</v>
      </c>
      <c r="G26" s="1">
        <v>42741</v>
      </c>
      <c r="H26" s="1">
        <v>36082</v>
      </c>
      <c r="I26">
        <v>41534</v>
      </c>
      <c r="J26">
        <v>17357</v>
      </c>
      <c r="K26">
        <v>8785</v>
      </c>
      <c r="L26">
        <f t="shared" si="0"/>
        <v>67676</v>
      </c>
      <c r="M26">
        <f t="shared" si="1"/>
        <v>812112</v>
      </c>
      <c r="N26" s="3">
        <f t="shared" si="2"/>
        <v>0.21151345885298792</v>
      </c>
      <c r="O26">
        <v>5</v>
      </c>
      <c r="P26">
        <v>80</v>
      </c>
      <c r="Q26">
        <v>2</v>
      </c>
      <c r="R26">
        <v>11</v>
      </c>
      <c r="S26">
        <v>10</v>
      </c>
      <c r="T26">
        <v>52</v>
      </c>
      <c r="V26" t="s">
        <v>38</v>
      </c>
      <c r="W26" t="s">
        <v>26</v>
      </c>
      <c r="X26" t="s">
        <v>87</v>
      </c>
    </row>
    <row r="27" spans="1:24" x14ac:dyDescent="0.35">
      <c r="A27" t="s">
        <v>93</v>
      </c>
      <c r="B27" t="s">
        <v>86</v>
      </c>
      <c r="C27" t="s">
        <v>35</v>
      </c>
      <c r="D27" t="s">
        <v>64</v>
      </c>
      <c r="E27" t="s">
        <v>43</v>
      </c>
      <c r="F27" t="s">
        <v>44</v>
      </c>
      <c r="G27" s="1">
        <v>42249</v>
      </c>
      <c r="H27" s="1">
        <v>30144</v>
      </c>
      <c r="I27">
        <v>44883</v>
      </c>
      <c r="J27">
        <v>4874</v>
      </c>
      <c r="K27">
        <v>8558</v>
      </c>
      <c r="L27">
        <f t="shared" si="0"/>
        <v>58315</v>
      </c>
      <c r="M27">
        <f t="shared" si="1"/>
        <v>699780</v>
      </c>
      <c r="N27" s="3">
        <f t="shared" si="2"/>
        <v>0.19067352895305573</v>
      </c>
      <c r="O27">
        <v>3</v>
      </c>
      <c r="P27">
        <v>84</v>
      </c>
      <c r="Q27">
        <v>1</v>
      </c>
      <c r="R27">
        <v>45</v>
      </c>
      <c r="S27">
        <v>14</v>
      </c>
      <c r="T27">
        <v>63</v>
      </c>
      <c r="V27" t="s">
        <v>26</v>
      </c>
      <c r="W27" t="s">
        <v>26</v>
      </c>
      <c r="X27" t="s">
        <v>87</v>
      </c>
    </row>
    <row r="28" spans="1:24" x14ac:dyDescent="0.35">
      <c r="A28" t="s">
        <v>94</v>
      </c>
      <c r="B28" t="s">
        <v>95</v>
      </c>
      <c r="C28" t="s">
        <v>22</v>
      </c>
      <c r="D28" t="s">
        <v>56</v>
      </c>
      <c r="E28" t="s">
        <v>43</v>
      </c>
      <c r="F28" t="s">
        <v>25</v>
      </c>
      <c r="G28" s="1">
        <v>43199</v>
      </c>
      <c r="H28" s="1">
        <v>34584</v>
      </c>
      <c r="I28">
        <v>77522</v>
      </c>
      <c r="J28">
        <v>8661</v>
      </c>
      <c r="K28">
        <v>13892</v>
      </c>
      <c r="L28">
        <f t="shared" si="0"/>
        <v>100075</v>
      </c>
      <c r="M28">
        <f t="shared" si="1"/>
        <v>1200900</v>
      </c>
      <c r="N28" s="3">
        <f t="shared" si="2"/>
        <v>0.17920074301488609</v>
      </c>
      <c r="O28">
        <v>8</v>
      </c>
      <c r="P28">
        <v>81</v>
      </c>
      <c r="Q28">
        <v>1</v>
      </c>
      <c r="R28">
        <v>70</v>
      </c>
      <c r="S28">
        <v>2</v>
      </c>
      <c r="T28">
        <v>57</v>
      </c>
      <c r="V28" t="s">
        <v>26</v>
      </c>
      <c r="W28" t="s">
        <v>26</v>
      </c>
      <c r="X28" t="s">
        <v>27</v>
      </c>
    </row>
    <row r="29" spans="1:24" x14ac:dyDescent="0.35">
      <c r="A29" t="s">
        <v>96</v>
      </c>
      <c r="B29" t="s">
        <v>29</v>
      </c>
      <c r="C29" t="s">
        <v>22</v>
      </c>
      <c r="D29" t="s">
        <v>42</v>
      </c>
      <c r="E29" t="s">
        <v>43</v>
      </c>
      <c r="F29" t="s">
        <v>31</v>
      </c>
      <c r="G29" s="1">
        <v>43083</v>
      </c>
      <c r="H29" s="1">
        <v>36116</v>
      </c>
      <c r="I29">
        <v>97768</v>
      </c>
      <c r="J29">
        <v>9025</v>
      </c>
      <c r="K29">
        <v>7072</v>
      </c>
      <c r="L29">
        <f t="shared" si="0"/>
        <v>113865</v>
      </c>
      <c r="M29">
        <f t="shared" si="1"/>
        <v>1366380</v>
      </c>
      <c r="N29" s="3">
        <f t="shared" si="2"/>
        <v>7.2334506177890515E-2</v>
      </c>
      <c r="O29">
        <v>5</v>
      </c>
      <c r="P29">
        <v>93</v>
      </c>
      <c r="Q29">
        <v>1</v>
      </c>
      <c r="R29">
        <v>77</v>
      </c>
      <c r="S29">
        <v>9</v>
      </c>
      <c r="T29">
        <v>72</v>
      </c>
      <c r="V29" t="s">
        <v>26</v>
      </c>
      <c r="W29" t="s">
        <v>26</v>
      </c>
      <c r="X29" t="s">
        <v>49</v>
      </c>
    </row>
    <row r="30" spans="1:24" x14ac:dyDescent="0.35">
      <c r="A30" t="s">
        <v>97</v>
      </c>
      <c r="B30" t="s">
        <v>98</v>
      </c>
      <c r="C30" t="s">
        <v>22</v>
      </c>
      <c r="D30" t="s">
        <v>59</v>
      </c>
      <c r="E30" t="s">
        <v>24</v>
      </c>
      <c r="F30" t="s">
        <v>25</v>
      </c>
      <c r="G30" s="1">
        <v>43555</v>
      </c>
      <c r="H30" s="1">
        <v>32230</v>
      </c>
      <c r="I30">
        <v>67682</v>
      </c>
      <c r="J30">
        <v>10286</v>
      </c>
      <c r="K30">
        <v>2714</v>
      </c>
      <c r="L30">
        <f t="shared" si="0"/>
        <v>80682</v>
      </c>
      <c r="M30">
        <f t="shared" si="1"/>
        <v>968184</v>
      </c>
      <c r="N30" s="3">
        <f t="shared" si="2"/>
        <v>4.0099287846103837E-2</v>
      </c>
      <c r="O30">
        <v>20</v>
      </c>
      <c r="P30">
        <v>97</v>
      </c>
      <c r="Q30">
        <v>2</v>
      </c>
      <c r="R30">
        <v>51</v>
      </c>
      <c r="S30">
        <v>20</v>
      </c>
      <c r="T30">
        <v>93</v>
      </c>
      <c r="V30" t="s">
        <v>38</v>
      </c>
      <c r="W30" t="s">
        <v>26</v>
      </c>
      <c r="X30" t="s">
        <v>87</v>
      </c>
    </row>
    <row r="31" spans="1:24" x14ac:dyDescent="0.35">
      <c r="A31" t="s">
        <v>99</v>
      </c>
      <c r="B31" t="s">
        <v>100</v>
      </c>
      <c r="C31" t="s">
        <v>35</v>
      </c>
      <c r="D31" t="s">
        <v>23</v>
      </c>
      <c r="E31" t="s">
        <v>37</v>
      </c>
      <c r="F31" t="s">
        <v>48</v>
      </c>
      <c r="G31" s="1">
        <v>44681</v>
      </c>
      <c r="H31" s="1">
        <v>38144</v>
      </c>
      <c r="I31">
        <v>46411</v>
      </c>
      <c r="J31">
        <v>9345</v>
      </c>
      <c r="K31">
        <v>1437</v>
      </c>
      <c r="L31">
        <f t="shared" si="0"/>
        <v>57193</v>
      </c>
      <c r="M31">
        <f t="shared" si="1"/>
        <v>686316</v>
      </c>
      <c r="N31" s="3">
        <f t="shared" si="2"/>
        <v>3.0962487341363039E-2</v>
      </c>
      <c r="O31">
        <v>9</v>
      </c>
      <c r="P31">
        <v>80</v>
      </c>
      <c r="Q31">
        <v>2</v>
      </c>
      <c r="R31">
        <v>24</v>
      </c>
      <c r="S31">
        <v>11</v>
      </c>
      <c r="T31">
        <v>61</v>
      </c>
      <c r="V31" t="s">
        <v>38</v>
      </c>
      <c r="W31" t="s">
        <v>26</v>
      </c>
      <c r="X31" t="s">
        <v>87</v>
      </c>
    </row>
    <row r="32" spans="1:24" x14ac:dyDescent="0.35">
      <c r="A32" t="s">
        <v>101</v>
      </c>
      <c r="B32" t="s">
        <v>102</v>
      </c>
      <c r="C32" t="s">
        <v>35</v>
      </c>
      <c r="D32" t="s">
        <v>56</v>
      </c>
      <c r="E32" t="s">
        <v>30</v>
      </c>
      <c r="F32" t="s">
        <v>48</v>
      </c>
      <c r="G32" s="1">
        <v>42237</v>
      </c>
      <c r="H32" s="1">
        <v>33396</v>
      </c>
      <c r="I32">
        <v>72336</v>
      </c>
      <c r="J32">
        <v>5131</v>
      </c>
      <c r="K32">
        <v>5129</v>
      </c>
      <c r="L32">
        <f t="shared" si="0"/>
        <v>82596</v>
      </c>
      <c r="M32">
        <f t="shared" si="1"/>
        <v>991152</v>
      </c>
      <c r="N32" s="3">
        <f t="shared" si="2"/>
        <v>7.0905220084052201E-2</v>
      </c>
      <c r="O32">
        <v>14</v>
      </c>
      <c r="P32">
        <v>82</v>
      </c>
      <c r="Q32">
        <v>5</v>
      </c>
      <c r="R32">
        <v>33</v>
      </c>
      <c r="S32">
        <v>16</v>
      </c>
      <c r="T32">
        <v>100</v>
      </c>
      <c r="V32" t="s">
        <v>26</v>
      </c>
      <c r="W32" t="s">
        <v>26</v>
      </c>
      <c r="X32" t="s">
        <v>32</v>
      </c>
    </row>
    <row r="33" spans="1:24" x14ac:dyDescent="0.35">
      <c r="A33" t="s">
        <v>103</v>
      </c>
      <c r="B33" t="s">
        <v>104</v>
      </c>
      <c r="C33" t="s">
        <v>35</v>
      </c>
      <c r="D33" t="s">
        <v>36</v>
      </c>
      <c r="E33" t="s">
        <v>43</v>
      </c>
      <c r="F33" t="s">
        <v>52</v>
      </c>
      <c r="G33" s="1">
        <v>43268</v>
      </c>
      <c r="H33" s="1">
        <v>36421</v>
      </c>
      <c r="I33">
        <v>55798</v>
      </c>
      <c r="J33">
        <v>3087</v>
      </c>
      <c r="K33">
        <v>2533</v>
      </c>
      <c r="L33">
        <f t="shared" si="0"/>
        <v>61418</v>
      </c>
      <c r="M33">
        <f t="shared" si="1"/>
        <v>737016</v>
      </c>
      <c r="N33" s="3">
        <f t="shared" si="2"/>
        <v>4.5395892325889815E-2</v>
      </c>
      <c r="O33">
        <v>4</v>
      </c>
      <c r="P33">
        <v>99</v>
      </c>
      <c r="Q33">
        <v>1</v>
      </c>
      <c r="R33">
        <v>56</v>
      </c>
      <c r="S33">
        <v>12</v>
      </c>
      <c r="T33">
        <v>72</v>
      </c>
      <c r="V33" t="s">
        <v>26</v>
      </c>
      <c r="W33" t="s">
        <v>26</v>
      </c>
      <c r="X33" t="s">
        <v>87</v>
      </c>
    </row>
    <row r="34" spans="1:24" x14ac:dyDescent="0.35">
      <c r="A34" t="s">
        <v>105</v>
      </c>
      <c r="B34" t="s">
        <v>47</v>
      </c>
      <c r="C34" t="s">
        <v>35</v>
      </c>
      <c r="D34" t="s">
        <v>64</v>
      </c>
      <c r="E34" t="s">
        <v>92</v>
      </c>
      <c r="F34" t="s">
        <v>25</v>
      </c>
      <c r="G34" s="1">
        <v>45313</v>
      </c>
      <c r="H34" s="1">
        <v>36056</v>
      </c>
      <c r="I34">
        <v>41992</v>
      </c>
      <c r="J34">
        <v>16155</v>
      </c>
      <c r="K34">
        <v>14880</v>
      </c>
      <c r="L34">
        <f t="shared" si="0"/>
        <v>73027</v>
      </c>
      <c r="M34">
        <f t="shared" si="1"/>
        <v>876324</v>
      </c>
      <c r="N34" s="3">
        <f t="shared" si="2"/>
        <v>0.35435321013526389</v>
      </c>
      <c r="O34">
        <v>3</v>
      </c>
      <c r="P34">
        <v>85</v>
      </c>
      <c r="Q34">
        <v>5</v>
      </c>
      <c r="R34">
        <v>34</v>
      </c>
      <c r="S34">
        <v>13</v>
      </c>
      <c r="T34">
        <v>60</v>
      </c>
      <c r="V34" t="s">
        <v>26</v>
      </c>
      <c r="W34" t="s">
        <v>26</v>
      </c>
      <c r="X34" t="s">
        <v>27</v>
      </c>
    </row>
    <row r="35" spans="1:24" x14ac:dyDescent="0.35">
      <c r="A35" t="s">
        <v>106</v>
      </c>
      <c r="B35" t="s">
        <v>107</v>
      </c>
      <c r="C35" t="s">
        <v>22</v>
      </c>
      <c r="D35" t="s">
        <v>42</v>
      </c>
      <c r="E35" t="s">
        <v>37</v>
      </c>
      <c r="F35" t="s">
        <v>48</v>
      </c>
      <c r="G35" s="1">
        <v>44333</v>
      </c>
      <c r="H35" s="1">
        <v>30098</v>
      </c>
      <c r="I35">
        <v>96250</v>
      </c>
      <c r="J35">
        <v>14703</v>
      </c>
      <c r="K35">
        <v>4080</v>
      </c>
      <c r="L35">
        <f t="shared" si="0"/>
        <v>115033</v>
      </c>
      <c r="M35">
        <f t="shared" si="1"/>
        <v>1380396</v>
      </c>
      <c r="N35" s="3">
        <f t="shared" si="2"/>
        <v>4.2389610389610387E-2</v>
      </c>
      <c r="O35">
        <v>10</v>
      </c>
      <c r="P35">
        <v>89</v>
      </c>
      <c r="Q35">
        <v>5</v>
      </c>
      <c r="R35">
        <v>70</v>
      </c>
      <c r="S35">
        <v>25</v>
      </c>
      <c r="T35">
        <v>92</v>
      </c>
      <c r="V35" t="s">
        <v>26</v>
      </c>
      <c r="W35" t="s">
        <v>26</v>
      </c>
      <c r="X35" t="s">
        <v>32</v>
      </c>
    </row>
    <row r="36" spans="1:24" x14ac:dyDescent="0.35">
      <c r="A36" t="s">
        <v>108</v>
      </c>
      <c r="B36" t="s">
        <v>76</v>
      </c>
      <c r="C36" t="s">
        <v>35</v>
      </c>
      <c r="D36" t="s">
        <v>64</v>
      </c>
      <c r="E36" t="s">
        <v>37</v>
      </c>
      <c r="F36" t="s">
        <v>65</v>
      </c>
      <c r="G36" s="1">
        <v>44042</v>
      </c>
      <c r="H36" s="1">
        <v>29957</v>
      </c>
      <c r="I36">
        <v>80407</v>
      </c>
      <c r="J36">
        <v>4075</v>
      </c>
      <c r="K36">
        <v>14093</v>
      </c>
      <c r="L36">
        <f t="shared" si="0"/>
        <v>98575</v>
      </c>
      <c r="M36">
        <f t="shared" si="1"/>
        <v>1182900</v>
      </c>
      <c r="N36" s="3">
        <f t="shared" si="2"/>
        <v>0.17527080975536954</v>
      </c>
      <c r="O36">
        <v>5</v>
      </c>
      <c r="P36">
        <v>85</v>
      </c>
      <c r="Q36">
        <v>1</v>
      </c>
      <c r="R36">
        <v>70</v>
      </c>
      <c r="S36">
        <v>7</v>
      </c>
      <c r="T36">
        <v>54</v>
      </c>
      <c r="V36" t="s">
        <v>26</v>
      </c>
      <c r="W36" t="s">
        <v>26</v>
      </c>
      <c r="X36" t="s">
        <v>45</v>
      </c>
    </row>
    <row r="37" spans="1:24" x14ac:dyDescent="0.35">
      <c r="A37" t="s">
        <v>109</v>
      </c>
      <c r="B37" t="s">
        <v>110</v>
      </c>
      <c r="C37" t="s">
        <v>35</v>
      </c>
      <c r="D37" t="s">
        <v>59</v>
      </c>
      <c r="E37" t="s">
        <v>19</v>
      </c>
      <c r="F37" t="s">
        <v>48</v>
      </c>
      <c r="G37" s="1">
        <v>42310</v>
      </c>
      <c r="H37" s="1">
        <v>32763</v>
      </c>
      <c r="I37">
        <v>36755</v>
      </c>
      <c r="J37">
        <v>10197</v>
      </c>
      <c r="K37">
        <v>1700</v>
      </c>
      <c r="L37">
        <f t="shared" si="0"/>
        <v>48652</v>
      </c>
      <c r="M37">
        <f t="shared" si="1"/>
        <v>583824</v>
      </c>
      <c r="N37" s="3">
        <f t="shared" si="2"/>
        <v>4.6252210583594071E-2</v>
      </c>
      <c r="O37">
        <v>18</v>
      </c>
      <c r="P37">
        <v>89</v>
      </c>
      <c r="Q37">
        <v>1</v>
      </c>
      <c r="R37">
        <v>26</v>
      </c>
      <c r="S37">
        <v>21</v>
      </c>
      <c r="T37">
        <v>52</v>
      </c>
      <c r="V37" t="s">
        <v>26</v>
      </c>
      <c r="W37" t="s">
        <v>26</v>
      </c>
      <c r="X37" t="s">
        <v>49</v>
      </c>
    </row>
    <row r="38" spans="1:24" x14ac:dyDescent="0.35">
      <c r="A38" t="s">
        <v>111</v>
      </c>
      <c r="B38" t="s">
        <v>112</v>
      </c>
      <c r="C38" t="s">
        <v>22</v>
      </c>
      <c r="D38" t="s">
        <v>23</v>
      </c>
      <c r="E38" t="s">
        <v>43</v>
      </c>
      <c r="F38" t="s">
        <v>44</v>
      </c>
      <c r="G38" s="1">
        <v>44525</v>
      </c>
      <c r="H38" s="1">
        <v>35517</v>
      </c>
      <c r="I38">
        <v>68746</v>
      </c>
      <c r="J38">
        <v>13844</v>
      </c>
      <c r="K38">
        <v>3989</v>
      </c>
      <c r="L38">
        <f t="shared" si="0"/>
        <v>86579</v>
      </c>
      <c r="M38">
        <f t="shared" si="1"/>
        <v>1038948</v>
      </c>
      <c r="N38" s="3">
        <f t="shared" si="2"/>
        <v>5.8025194193116691E-2</v>
      </c>
      <c r="O38">
        <v>13</v>
      </c>
      <c r="P38">
        <v>93</v>
      </c>
      <c r="Q38">
        <v>1</v>
      </c>
      <c r="R38">
        <v>11</v>
      </c>
      <c r="S38">
        <v>1</v>
      </c>
      <c r="T38">
        <v>63</v>
      </c>
      <c r="V38" t="s">
        <v>26</v>
      </c>
      <c r="W38" t="s">
        <v>26</v>
      </c>
      <c r="X38" t="s">
        <v>49</v>
      </c>
    </row>
    <row r="39" spans="1:24" x14ac:dyDescent="0.35">
      <c r="A39" t="s">
        <v>113</v>
      </c>
      <c r="B39" t="s">
        <v>114</v>
      </c>
      <c r="C39" t="s">
        <v>35</v>
      </c>
      <c r="D39" t="s">
        <v>36</v>
      </c>
      <c r="E39" t="s">
        <v>19</v>
      </c>
      <c r="F39" t="s">
        <v>44</v>
      </c>
      <c r="G39" s="1">
        <v>44895</v>
      </c>
      <c r="H39" s="1">
        <v>33533</v>
      </c>
      <c r="I39">
        <v>62181</v>
      </c>
      <c r="J39">
        <v>9733</v>
      </c>
      <c r="K39">
        <v>14837</v>
      </c>
      <c r="L39">
        <f t="shared" si="0"/>
        <v>86751</v>
      </c>
      <c r="M39">
        <f t="shared" si="1"/>
        <v>1041012</v>
      </c>
      <c r="N39" s="3">
        <f t="shared" si="2"/>
        <v>0.23860986474968238</v>
      </c>
      <c r="O39">
        <v>6</v>
      </c>
      <c r="P39">
        <v>97</v>
      </c>
      <c r="Q39">
        <v>5</v>
      </c>
      <c r="R39">
        <v>70</v>
      </c>
      <c r="S39">
        <v>2</v>
      </c>
      <c r="T39">
        <v>50</v>
      </c>
      <c r="V39" t="s">
        <v>26</v>
      </c>
      <c r="W39" t="s">
        <v>38</v>
      </c>
      <c r="X39" t="s">
        <v>45</v>
      </c>
    </row>
    <row r="40" spans="1:24" x14ac:dyDescent="0.35">
      <c r="A40" t="s">
        <v>115</v>
      </c>
      <c r="B40" t="s">
        <v>67</v>
      </c>
      <c r="C40" t="s">
        <v>22</v>
      </c>
      <c r="D40" t="s">
        <v>23</v>
      </c>
      <c r="E40" t="s">
        <v>43</v>
      </c>
      <c r="F40" t="s">
        <v>65</v>
      </c>
      <c r="G40" s="1">
        <v>44572</v>
      </c>
      <c r="H40" s="1">
        <v>37075</v>
      </c>
      <c r="I40">
        <v>28860</v>
      </c>
      <c r="J40">
        <v>9089</v>
      </c>
      <c r="K40">
        <v>5853</v>
      </c>
      <c r="L40">
        <f t="shared" si="0"/>
        <v>43802</v>
      </c>
      <c r="M40">
        <f t="shared" si="1"/>
        <v>525624</v>
      </c>
      <c r="N40" s="3">
        <f t="shared" si="2"/>
        <v>0.2028066528066528</v>
      </c>
      <c r="O40">
        <v>15</v>
      </c>
      <c r="P40">
        <v>91</v>
      </c>
      <c r="Q40">
        <v>3</v>
      </c>
      <c r="R40">
        <v>68</v>
      </c>
      <c r="S40">
        <v>24</v>
      </c>
      <c r="T40">
        <v>86</v>
      </c>
      <c r="V40" t="s">
        <v>26</v>
      </c>
      <c r="W40" t="s">
        <v>26</v>
      </c>
      <c r="X40" t="s">
        <v>49</v>
      </c>
    </row>
    <row r="41" spans="1:24" x14ac:dyDescent="0.35">
      <c r="A41" t="s">
        <v>116</v>
      </c>
      <c r="B41" t="s">
        <v>117</v>
      </c>
      <c r="C41" t="s">
        <v>22</v>
      </c>
      <c r="D41" t="s">
        <v>56</v>
      </c>
      <c r="E41" t="s">
        <v>24</v>
      </c>
      <c r="F41" t="s">
        <v>25</v>
      </c>
      <c r="G41" s="1">
        <v>44404</v>
      </c>
      <c r="H41" s="1">
        <v>30807</v>
      </c>
      <c r="I41">
        <v>89334</v>
      </c>
      <c r="J41">
        <v>16143</v>
      </c>
      <c r="K41">
        <v>7102</v>
      </c>
      <c r="L41">
        <f t="shared" si="0"/>
        <v>112579</v>
      </c>
      <c r="M41">
        <f t="shared" si="1"/>
        <v>1350948</v>
      </c>
      <c r="N41" s="3">
        <f t="shared" si="2"/>
        <v>7.9499406720845364E-2</v>
      </c>
      <c r="O41">
        <v>14</v>
      </c>
      <c r="P41">
        <v>85</v>
      </c>
      <c r="Q41">
        <v>1</v>
      </c>
      <c r="R41">
        <v>79</v>
      </c>
      <c r="S41">
        <v>2</v>
      </c>
      <c r="T41">
        <v>64</v>
      </c>
      <c r="V41" t="s">
        <v>26</v>
      </c>
      <c r="W41" t="s">
        <v>26</v>
      </c>
      <c r="X41" t="s">
        <v>39</v>
      </c>
    </row>
    <row r="42" spans="1:24" x14ac:dyDescent="0.35">
      <c r="A42" t="s">
        <v>118</v>
      </c>
      <c r="B42" t="s">
        <v>67</v>
      </c>
      <c r="C42" t="s">
        <v>22</v>
      </c>
      <c r="D42" t="s">
        <v>23</v>
      </c>
      <c r="E42" t="s">
        <v>19</v>
      </c>
      <c r="F42" t="s">
        <v>65</v>
      </c>
      <c r="G42" s="1">
        <v>45607</v>
      </c>
      <c r="H42" s="1">
        <v>37826</v>
      </c>
      <c r="I42">
        <v>90212</v>
      </c>
      <c r="J42">
        <v>8492</v>
      </c>
      <c r="K42">
        <v>6165</v>
      </c>
      <c r="L42">
        <f t="shared" si="0"/>
        <v>104869</v>
      </c>
      <c r="M42">
        <f t="shared" si="1"/>
        <v>1258428</v>
      </c>
      <c r="N42" s="3">
        <f t="shared" si="2"/>
        <v>6.8339023633219531E-2</v>
      </c>
      <c r="O42">
        <v>20</v>
      </c>
      <c r="P42">
        <v>100</v>
      </c>
      <c r="Q42">
        <v>4</v>
      </c>
      <c r="R42">
        <v>34</v>
      </c>
      <c r="S42">
        <v>10</v>
      </c>
      <c r="T42">
        <v>93</v>
      </c>
      <c r="V42" t="s">
        <v>26</v>
      </c>
      <c r="W42" t="s">
        <v>38</v>
      </c>
      <c r="X42" t="s">
        <v>87</v>
      </c>
    </row>
    <row r="43" spans="1:24" x14ac:dyDescent="0.35">
      <c r="A43" t="s">
        <v>119</v>
      </c>
      <c r="B43" t="s">
        <v>120</v>
      </c>
      <c r="C43" t="s">
        <v>22</v>
      </c>
      <c r="D43" t="s">
        <v>59</v>
      </c>
      <c r="E43" t="s">
        <v>19</v>
      </c>
      <c r="F43" t="s">
        <v>52</v>
      </c>
      <c r="G43" s="1">
        <v>45174</v>
      </c>
      <c r="H43" s="1">
        <v>31575</v>
      </c>
      <c r="I43">
        <v>73367</v>
      </c>
      <c r="J43">
        <v>3663</v>
      </c>
      <c r="K43">
        <v>3298</v>
      </c>
      <c r="L43">
        <f t="shared" si="0"/>
        <v>80328</v>
      </c>
      <c r="M43">
        <f t="shared" si="1"/>
        <v>963936</v>
      </c>
      <c r="N43" s="3">
        <f t="shared" si="2"/>
        <v>4.4952090176782478E-2</v>
      </c>
      <c r="O43">
        <v>5</v>
      </c>
      <c r="P43">
        <v>100</v>
      </c>
      <c r="Q43">
        <v>2</v>
      </c>
      <c r="R43">
        <v>51</v>
      </c>
      <c r="S43">
        <v>23</v>
      </c>
      <c r="T43">
        <v>61</v>
      </c>
      <c r="V43" t="s">
        <v>26</v>
      </c>
      <c r="W43" t="s">
        <v>26</v>
      </c>
      <c r="X43" t="s">
        <v>87</v>
      </c>
    </row>
    <row r="44" spans="1:24" x14ac:dyDescent="0.35">
      <c r="A44" t="s">
        <v>121</v>
      </c>
      <c r="B44" t="s">
        <v>122</v>
      </c>
      <c r="C44" t="s">
        <v>22</v>
      </c>
      <c r="D44" t="s">
        <v>23</v>
      </c>
      <c r="E44" t="s">
        <v>19</v>
      </c>
      <c r="F44" t="s">
        <v>52</v>
      </c>
      <c r="G44" s="1">
        <v>42026</v>
      </c>
      <c r="H44" s="1">
        <v>36931</v>
      </c>
      <c r="I44">
        <v>45416</v>
      </c>
      <c r="J44">
        <v>7533</v>
      </c>
      <c r="K44">
        <v>6737</v>
      </c>
      <c r="L44">
        <f t="shared" si="0"/>
        <v>59686</v>
      </c>
      <c r="M44">
        <f t="shared" si="1"/>
        <v>716232</v>
      </c>
      <c r="N44" s="3">
        <f t="shared" si="2"/>
        <v>0.14833979214373788</v>
      </c>
      <c r="O44">
        <v>17</v>
      </c>
      <c r="P44">
        <v>100</v>
      </c>
      <c r="Q44">
        <v>4</v>
      </c>
      <c r="R44">
        <v>28</v>
      </c>
      <c r="S44">
        <v>2</v>
      </c>
      <c r="T44">
        <v>77</v>
      </c>
      <c r="V44" t="s">
        <v>26</v>
      </c>
      <c r="W44" t="s">
        <v>38</v>
      </c>
      <c r="X44" t="s">
        <v>39</v>
      </c>
    </row>
    <row r="45" spans="1:24" x14ac:dyDescent="0.35">
      <c r="A45" t="s">
        <v>123</v>
      </c>
      <c r="B45" t="s">
        <v>73</v>
      </c>
      <c r="C45" t="s">
        <v>35</v>
      </c>
      <c r="D45" t="s">
        <v>23</v>
      </c>
      <c r="E45" t="s">
        <v>43</v>
      </c>
      <c r="F45" t="s">
        <v>25</v>
      </c>
      <c r="G45" s="1">
        <v>43345</v>
      </c>
      <c r="H45" s="1">
        <v>36485</v>
      </c>
      <c r="I45">
        <v>85796</v>
      </c>
      <c r="J45">
        <v>3237</v>
      </c>
      <c r="K45">
        <v>2829</v>
      </c>
      <c r="L45">
        <f t="shared" si="0"/>
        <v>91862</v>
      </c>
      <c r="M45">
        <f t="shared" si="1"/>
        <v>1102344</v>
      </c>
      <c r="N45" s="3">
        <f t="shared" si="2"/>
        <v>3.2973565201174879E-2</v>
      </c>
      <c r="O45">
        <v>2</v>
      </c>
      <c r="P45">
        <v>91</v>
      </c>
      <c r="Q45">
        <v>3</v>
      </c>
      <c r="R45">
        <v>41</v>
      </c>
      <c r="S45">
        <v>24</v>
      </c>
      <c r="T45">
        <v>65</v>
      </c>
      <c r="V45" t="s">
        <v>26</v>
      </c>
      <c r="W45" t="s">
        <v>26</v>
      </c>
      <c r="X45" t="s">
        <v>49</v>
      </c>
    </row>
    <row r="46" spans="1:24" x14ac:dyDescent="0.35">
      <c r="A46" t="s">
        <v>124</v>
      </c>
      <c r="B46" t="s">
        <v>125</v>
      </c>
      <c r="C46" t="s">
        <v>35</v>
      </c>
      <c r="D46" t="s">
        <v>59</v>
      </c>
      <c r="E46" t="s">
        <v>92</v>
      </c>
      <c r="F46" t="s">
        <v>25</v>
      </c>
      <c r="G46" s="1">
        <v>42761</v>
      </c>
      <c r="H46" s="1">
        <v>31296</v>
      </c>
      <c r="I46">
        <v>83823</v>
      </c>
      <c r="J46">
        <v>6315</v>
      </c>
      <c r="K46">
        <v>14364</v>
      </c>
      <c r="L46">
        <f t="shared" si="0"/>
        <v>104502</v>
      </c>
      <c r="M46">
        <f t="shared" si="1"/>
        <v>1254024</v>
      </c>
      <c r="N46" s="3">
        <f t="shared" si="2"/>
        <v>0.17136108228051966</v>
      </c>
      <c r="O46">
        <v>16</v>
      </c>
      <c r="P46">
        <v>93</v>
      </c>
      <c r="Q46">
        <v>1</v>
      </c>
      <c r="R46">
        <v>44</v>
      </c>
      <c r="S46">
        <v>20</v>
      </c>
      <c r="T46">
        <v>58</v>
      </c>
      <c r="V46" t="s">
        <v>26</v>
      </c>
      <c r="W46" t="s">
        <v>26</v>
      </c>
      <c r="X46" t="s">
        <v>27</v>
      </c>
    </row>
    <row r="47" spans="1:24" x14ac:dyDescent="0.35">
      <c r="A47" t="s">
        <v>126</v>
      </c>
      <c r="B47" t="s">
        <v>127</v>
      </c>
      <c r="C47" t="s">
        <v>22</v>
      </c>
      <c r="D47" t="s">
        <v>36</v>
      </c>
      <c r="E47" t="s">
        <v>92</v>
      </c>
      <c r="F47" t="s">
        <v>25</v>
      </c>
      <c r="G47" s="1">
        <v>42488</v>
      </c>
      <c r="H47" s="1">
        <v>31326</v>
      </c>
      <c r="I47">
        <v>92776</v>
      </c>
      <c r="J47">
        <v>3164</v>
      </c>
      <c r="K47">
        <v>10829</v>
      </c>
      <c r="L47">
        <f t="shared" si="0"/>
        <v>106769</v>
      </c>
      <c r="M47">
        <f t="shared" si="1"/>
        <v>1281228</v>
      </c>
      <c r="N47" s="3">
        <f t="shared" si="2"/>
        <v>0.11672199706820729</v>
      </c>
      <c r="O47">
        <v>16</v>
      </c>
      <c r="P47">
        <v>96</v>
      </c>
      <c r="Q47">
        <v>4</v>
      </c>
      <c r="R47">
        <v>51</v>
      </c>
      <c r="S47">
        <v>22</v>
      </c>
      <c r="T47">
        <v>81</v>
      </c>
      <c r="V47" t="s">
        <v>38</v>
      </c>
      <c r="W47" t="s">
        <v>38</v>
      </c>
      <c r="X47" t="s">
        <v>87</v>
      </c>
    </row>
    <row r="48" spans="1:24" x14ac:dyDescent="0.35">
      <c r="A48" t="s">
        <v>128</v>
      </c>
      <c r="B48" t="s">
        <v>129</v>
      </c>
      <c r="C48" t="s">
        <v>22</v>
      </c>
      <c r="D48" t="s">
        <v>36</v>
      </c>
      <c r="E48" t="s">
        <v>43</v>
      </c>
      <c r="F48" t="s">
        <v>44</v>
      </c>
      <c r="G48" s="1">
        <v>45024</v>
      </c>
      <c r="H48" s="1">
        <v>37221</v>
      </c>
      <c r="I48">
        <v>40330</v>
      </c>
      <c r="J48">
        <v>9486</v>
      </c>
      <c r="K48">
        <v>2200</v>
      </c>
      <c r="L48">
        <f t="shared" si="0"/>
        <v>52016</v>
      </c>
      <c r="M48">
        <f t="shared" si="1"/>
        <v>624192</v>
      </c>
      <c r="N48" s="3">
        <f t="shared" si="2"/>
        <v>5.4549962806843544E-2</v>
      </c>
      <c r="O48">
        <v>12</v>
      </c>
      <c r="P48">
        <v>96</v>
      </c>
      <c r="Q48">
        <v>4</v>
      </c>
      <c r="R48">
        <v>13</v>
      </c>
      <c r="S48">
        <v>6</v>
      </c>
      <c r="T48">
        <v>66</v>
      </c>
      <c r="V48" t="s">
        <v>38</v>
      </c>
      <c r="W48" t="s">
        <v>38</v>
      </c>
      <c r="X48" t="s">
        <v>49</v>
      </c>
    </row>
    <row r="49" spans="1:24" x14ac:dyDescent="0.35">
      <c r="A49" t="s">
        <v>130</v>
      </c>
      <c r="B49" t="s">
        <v>131</v>
      </c>
      <c r="C49" t="s">
        <v>22</v>
      </c>
      <c r="D49" t="s">
        <v>64</v>
      </c>
      <c r="E49" t="s">
        <v>30</v>
      </c>
      <c r="F49" t="s">
        <v>25</v>
      </c>
      <c r="G49" s="1">
        <v>43734</v>
      </c>
      <c r="H49" s="1">
        <v>36569</v>
      </c>
      <c r="I49">
        <v>82248</v>
      </c>
      <c r="J49">
        <v>10329</v>
      </c>
      <c r="K49">
        <v>12708</v>
      </c>
      <c r="L49">
        <f t="shared" si="0"/>
        <v>105285</v>
      </c>
      <c r="M49">
        <f t="shared" si="1"/>
        <v>1263420</v>
      </c>
      <c r="N49" s="3">
        <f t="shared" si="2"/>
        <v>0.15450831631164283</v>
      </c>
      <c r="O49">
        <v>2</v>
      </c>
      <c r="P49">
        <v>93</v>
      </c>
      <c r="Q49">
        <v>1</v>
      </c>
      <c r="R49">
        <v>12</v>
      </c>
      <c r="S49">
        <v>9</v>
      </c>
      <c r="T49">
        <v>82</v>
      </c>
      <c r="V49" t="s">
        <v>26</v>
      </c>
      <c r="W49" t="s">
        <v>26</v>
      </c>
      <c r="X49" t="s">
        <v>39</v>
      </c>
    </row>
    <row r="50" spans="1:24" x14ac:dyDescent="0.35">
      <c r="A50" t="s">
        <v>132</v>
      </c>
      <c r="B50" t="s">
        <v>133</v>
      </c>
      <c r="C50" t="s">
        <v>35</v>
      </c>
      <c r="D50" t="s">
        <v>56</v>
      </c>
      <c r="E50" t="s">
        <v>24</v>
      </c>
      <c r="F50" t="s">
        <v>31</v>
      </c>
      <c r="G50" s="1">
        <v>42764</v>
      </c>
      <c r="H50" s="1">
        <v>31204</v>
      </c>
      <c r="I50">
        <v>28534</v>
      </c>
      <c r="J50">
        <v>10280</v>
      </c>
      <c r="K50">
        <v>7419</v>
      </c>
      <c r="L50">
        <f t="shared" si="0"/>
        <v>46233</v>
      </c>
      <c r="M50">
        <f t="shared" si="1"/>
        <v>554796</v>
      </c>
      <c r="N50" s="3">
        <f t="shared" si="2"/>
        <v>0.26000560734562278</v>
      </c>
      <c r="O50">
        <v>17</v>
      </c>
      <c r="P50">
        <v>90</v>
      </c>
      <c r="Q50">
        <v>1</v>
      </c>
      <c r="R50">
        <v>26</v>
      </c>
      <c r="S50">
        <v>25</v>
      </c>
      <c r="T50">
        <v>68</v>
      </c>
      <c r="V50" t="s">
        <v>26</v>
      </c>
      <c r="W50" t="s">
        <v>26</v>
      </c>
      <c r="X50" t="s">
        <v>49</v>
      </c>
    </row>
    <row r="51" spans="1:24" x14ac:dyDescent="0.35">
      <c r="A51" t="s">
        <v>134</v>
      </c>
      <c r="B51" t="s">
        <v>135</v>
      </c>
      <c r="C51" t="s">
        <v>35</v>
      </c>
      <c r="D51" t="s">
        <v>42</v>
      </c>
      <c r="E51" t="s">
        <v>37</v>
      </c>
      <c r="F51" t="s">
        <v>48</v>
      </c>
      <c r="G51" s="1">
        <v>42932</v>
      </c>
      <c r="H51" s="1">
        <v>37976</v>
      </c>
      <c r="I51">
        <v>29516</v>
      </c>
      <c r="J51">
        <v>13086</v>
      </c>
      <c r="K51">
        <v>8715</v>
      </c>
      <c r="L51">
        <f t="shared" si="0"/>
        <v>51317</v>
      </c>
      <c r="M51">
        <f t="shared" si="1"/>
        <v>615804</v>
      </c>
      <c r="N51" s="3">
        <f t="shared" si="2"/>
        <v>0.29526358585174145</v>
      </c>
      <c r="O51">
        <v>5</v>
      </c>
      <c r="P51">
        <v>86</v>
      </c>
      <c r="Q51">
        <v>3</v>
      </c>
      <c r="R51">
        <v>30</v>
      </c>
      <c r="S51">
        <v>22</v>
      </c>
      <c r="T51">
        <v>80</v>
      </c>
      <c r="V51" t="s">
        <v>26</v>
      </c>
      <c r="W51" t="s">
        <v>26</v>
      </c>
      <c r="X51" t="s">
        <v>87</v>
      </c>
    </row>
    <row r="52" spans="1:24" x14ac:dyDescent="0.35">
      <c r="A52" t="s">
        <v>136</v>
      </c>
      <c r="B52" t="s">
        <v>135</v>
      </c>
      <c r="C52" t="s">
        <v>22</v>
      </c>
      <c r="D52" t="s">
        <v>23</v>
      </c>
      <c r="E52" t="s">
        <v>37</v>
      </c>
      <c r="F52" t="s">
        <v>48</v>
      </c>
      <c r="G52" s="1">
        <v>43954</v>
      </c>
      <c r="H52" s="1">
        <v>36543</v>
      </c>
      <c r="I52">
        <v>85718</v>
      </c>
      <c r="J52">
        <v>16229</v>
      </c>
      <c r="K52">
        <v>5418</v>
      </c>
      <c r="L52">
        <f t="shared" si="0"/>
        <v>107365</v>
      </c>
      <c r="M52">
        <f t="shared" si="1"/>
        <v>1288380</v>
      </c>
      <c r="N52" s="3">
        <f t="shared" si="2"/>
        <v>6.320726101868919E-2</v>
      </c>
      <c r="O52">
        <v>14</v>
      </c>
      <c r="P52">
        <v>89</v>
      </c>
      <c r="Q52">
        <v>1</v>
      </c>
      <c r="R52">
        <v>50</v>
      </c>
      <c r="S52">
        <v>14</v>
      </c>
      <c r="T52">
        <v>56</v>
      </c>
      <c r="V52" t="s">
        <v>26</v>
      </c>
      <c r="W52" t="s">
        <v>26</v>
      </c>
      <c r="X52" t="s">
        <v>27</v>
      </c>
    </row>
    <row r="53" spans="1:24" x14ac:dyDescent="0.35">
      <c r="A53" t="s">
        <v>137</v>
      </c>
      <c r="B53" t="s">
        <v>138</v>
      </c>
      <c r="C53" t="s">
        <v>22</v>
      </c>
      <c r="D53" t="s">
        <v>64</v>
      </c>
      <c r="E53" t="s">
        <v>30</v>
      </c>
      <c r="F53" t="s">
        <v>65</v>
      </c>
      <c r="G53" s="1">
        <v>44856</v>
      </c>
      <c r="H53" s="1">
        <v>36040</v>
      </c>
      <c r="I53">
        <v>91746</v>
      </c>
      <c r="J53">
        <v>10276</v>
      </c>
      <c r="K53">
        <v>12093</v>
      </c>
      <c r="L53">
        <f t="shared" si="0"/>
        <v>114115</v>
      </c>
      <c r="M53">
        <f t="shared" si="1"/>
        <v>1369380</v>
      </c>
      <c r="N53" s="3">
        <f t="shared" si="2"/>
        <v>0.13180956117977896</v>
      </c>
      <c r="O53">
        <v>20</v>
      </c>
      <c r="P53">
        <v>88</v>
      </c>
      <c r="Q53">
        <v>5</v>
      </c>
      <c r="R53">
        <v>30</v>
      </c>
      <c r="S53">
        <v>24</v>
      </c>
      <c r="T53">
        <v>68</v>
      </c>
      <c r="V53" t="s">
        <v>26</v>
      </c>
      <c r="W53" t="s">
        <v>26</v>
      </c>
      <c r="X53" t="s">
        <v>45</v>
      </c>
    </row>
    <row r="54" spans="1:24" x14ac:dyDescent="0.35">
      <c r="A54" t="s">
        <v>139</v>
      </c>
      <c r="B54" t="s">
        <v>58</v>
      </c>
      <c r="C54" t="s">
        <v>35</v>
      </c>
      <c r="D54" t="s">
        <v>59</v>
      </c>
      <c r="E54" t="s">
        <v>30</v>
      </c>
      <c r="F54" t="s">
        <v>31</v>
      </c>
      <c r="G54" s="1">
        <v>43584</v>
      </c>
      <c r="H54" s="1">
        <v>38194</v>
      </c>
      <c r="I54">
        <v>33280</v>
      </c>
      <c r="J54">
        <v>9033</v>
      </c>
      <c r="K54">
        <v>8631</v>
      </c>
      <c r="L54">
        <f t="shared" si="0"/>
        <v>50944</v>
      </c>
      <c r="M54">
        <f t="shared" si="1"/>
        <v>611328</v>
      </c>
      <c r="N54" s="3">
        <f t="shared" si="2"/>
        <v>0.25934495192307694</v>
      </c>
      <c r="O54">
        <v>5</v>
      </c>
      <c r="P54">
        <v>85</v>
      </c>
      <c r="Q54">
        <v>3</v>
      </c>
      <c r="R54">
        <v>75</v>
      </c>
      <c r="S54">
        <v>4</v>
      </c>
      <c r="T54">
        <v>58</v>
      </c>
      <c r="V54" t="s">
        <v>26</v>
      </c>
      <c r="W54" t="s">
        <v>26</v>
      </c>
      <c r="X54" t="s">
        <v>39</v>
      </c>
    </row>
    <row r="55" spans="1:24" x14ac:dyDescent="0.35">
      <c r="A55" t="s">
        <v>140</v>
      </c>
      <c r="B55" t="s">
        <v>141</v>
      </c>
      <c r="C55" t="s">
        <v>35</v>
      </c>
      <c r="D55" t="s">
        <v>36</v>
      </c>
      <c r="E55" t="s">
        <v>19</v>
      </c>
      <c r="F55" t="s">
        <v>65</v>
      </c>
      <c r="G55" s="1">
        <v>44516</v>
      </c>
      <c r="H55" s="1">
        <v>32435</v>
      </c>
      <c r="I55">
        <v>63889</v>
      </c>
      <c r="J55">
        <v>6133</v>
      </c>
      <c r="K55">
        <v>10635</v>
      </c>
      <c r="L55">
        <f t="shared" si="0"/>
        <v>80657</v>
      </c>
      <c r="M55">
        <f t="shared" si="1"/>
        <v>967884</v>
      </c>
      <c r="N55" s="3">
        <f t="shared" si="2"/>
        <v>0.16646058006855641</v>
      </c>
      <c r="O55">
        <v>20</v>
      </c>
      <c r="P55">
        <v>81</v>
      </c>
      <c r="Q55">
        <v>3</v>
      </c>
      <c r="R55">
        <v>24</v>
      </c>
      <c r="S55">
        <v>19</v>
      </c>
      <c r="T55">
        <v>78</v>
      </c>
      <c r="V55" t="s">
        <v>38</v>
      </c>
      <c r="W55" t="s">
        <v>26</v>
      </c>
      <c r="X55" t="s">
        <v>87</v>
      </c>
    </row>
    <row r="56" spans="1:24" x14ac:dyDescent="0.35">
      <c r="A56" t="s">
        <v>142</v>
      </c>
      <c r="B56" t="s">
        <v>129</v>
      </c>
      <c r="C56" t="s">
        <v>22</v>
      </c>
      <c r="D56" t="s">
        <v>36</v>
      </c>
      <c r="E56" t="s">
        <v>30</v>
      </c>
      <c r="F56" t="s">
        <v>25</v>
      </c>
      <c r="G56" s="1">
        <v>43001</v>
      </c>
      <c r="H56" s="1">
        <v>29897</v>
      </c>
      <c r="I56">
        <v>70538</v>
      </c>
      <c r="J56">
        <v>6531</v>
      </c>
      <c r="K56">
        <v>2369</v>
      </c>
      <c r="L56">
        <f t="shared" si="0"/>
        <v>79438</v>
      </c>
      <c r="M56">
        <f t="shared" si="1"/>
        <v>953256</v>
      </c>
      <c r="N56" s="3">
        <f t="shared" si="2"/>
        <v>3.3584734469364032E-2</v>
      </c>
      <c r="O56">
        <v>6</v>
      </c>
      <c r="P56">
        <v>94</v>
      </c>
      <c r="Q56">
        <v>4</v>
      </c>
      <c r="R56">
        <v>22</v>
      </c>
      <c r="S56">
        <v>3</v>
      </c>
      <c r="T56">
        <v>85</v>
      </c>
      <c r="V56" t="s">
        <v>26</v>
      </c>
      <c r="W56" t="s">
        <v>26</v>
      </c>
      <c r="X56" t="s">
        <v>32</v>
      </c>
    </row>
    <row r="57" spans="1:24" x14ac:dyDescent="0.35">
      <c r="A57" t="s">
        <v>143</v>
      </c>
      <c r="B57" t="s">
        <v>144</v>
      </c>
      <c r="C57" t="s">
        <v>22</v>
      </c>
      <c r="D57" t="s">
        <v>59</v>
      </c>
      <c r="E57" t="s">
        <v>30</v>
      </c>
      <c r="F57" t="s">
        <v>44</v>
      </c>
      <c r="G57" s="1">
        <v>45654</v>
      </c>
      <c r="H57" s="1">
        <v>31773</v>
      </c>
      <c r="I57">
        <v>56131</v>
      </c>
      <c r="J57">
        <v>14008</v>
      </c>
      <c r="K57">
        <v>6027</v>
      </c>
      <c r="L57">
        <f t="shared" si="0"/>
        <v>76166</v>
      </c>
      <c r="M57">
        <f t="shared" si="1"/>
        <v>913992</v>
      </c>
      <c r="N57" s="3">
        <f t="shared" si="2"/>
        <v>0.10737382195221892</v>
      </c>
      <c r="O57">
        <v>6</v>
      </c>
      <c r="P57">
        <v>94</v>
      </c>
      <c r="Q57">
        <v>2</v>
      </c>
      <c r="R57">
        <v>74</v>
      </c>
      <c r="S57">
        <v>11</v>
      </c>
      <c r="T57">
        <v>97</v>
      </c>
      <c r="V57" t="s">
        <v>26</v>
      </c>
      <c r="W57" t="s">
        <v>26</v>
      </c>
      <c r="X57" t="s">
        <v>32</v>
      </c>
    </row>
    <row r="58" spans="1:24" x14ac:dyDescent="0.35">
      <c r="A58" t="s">
        <v>145</v>
      </c>
      <c r="B58" t="s">
        <v>146</v>
      </c>
      <c r="C58" t="s">
        <v>35</v>
      </c>
      <c r="D58" t="s">
        <v>23</v>
      </c>
      <c r="E58" t="s">
        <v>37</v>
      </c>
      <c r="F58" t="s">
        <v>52</v>
      </c>
      <c r="G58" s="1">
        <v>44466</v>
      </c>
      <c r="H58" s="1">
        <v>31837</v>
      </c>
      <c r="I58">
        <v>99645</v>
      </c>
      <c r="J58">
        <v>5354</v>
      </c>
      <c r="K58">
        <v>4152</v>
      </c>
      <c r="L58">
        <f t="shared" si="0"/>
        <v>109151</v>
      </c>
      <c r="M58">
        <f t="shared" si="1"/>
        <v>1309812</v>
      </c>
      <c r="N58" s="3">
        <f t="shared" si="2"/>
        <v>4.1667921119975915E-2</v>
      </c>
      <c r="O58">
        <v>8</v>
      </c>
      <c r="P58">
        <v>89</v>
      </c>
      <c r="Q58">
        <v>4</v>
      </c>
      <c r="R58">
        <v>64</v>
      </c>
      <c r="S58">
        <v>4</v>
      </c>
      <c r="T58">
        <v>93</v>
      </c>
      <c r="V58" t="s">
        <v>26</v>
      </c>
      <c r="W58" t="s">
        <v>26</v>
      </c>
      <c r="X58" t="s">
        <v>49</v>
      </c>
    </row>
    <row r="59" spans="1:24" x14ac:dyDescent="0.35">
      <c r="A59" t="s">
        <v>147</v>
      </c>
      <c r="B59" t="s">
        <v>71</v>
      </c>
      <c r="C59" t="s">
        <v>22</v>
      </c>
      <c r="D59" t="s">
        <v>64</v>
      </c>
      <c r="E59" t="s">
        <v>37</v>
      </c>
      <c r="F59" t="s">
        <v>52</v>
      </c>
      <c r="G59" s="1">
        <v>42491</v>
      </c>
      <c r="H59" s="1">
        <v>30768</v>
      </c>
      <c r="I59">
        <v>64668</v>
      </c>
      <c r="J59">
        <v>13291</v>
      </c>
      <c r="K59">
        <v>3903</v>
      </c>
      <c r="L59">
        <f t="shared" si="0"/>
        <v>81862</v>
      </c>
      <c r="M59">
        <f t="shared" si="1"/>
        <v>982344</v>
      </c>
      <c r="N59" s="3">
        <f t="shared" si="2"/>
        <v>6.0354425681944705E-2</v>
      </c>
      <c r="O59">
        <v>1</v>
      </c>
      <c r="P59">
        <v>95</v>
      </c>
      <c r="Q59">
        <v>4</v>
      </c>
      <c r="R59">
        <v>29</v>
      </c>
      <c r="S59">
        <v>17</v>
      </c>
      <c r="T59">
        <v>90</v>
      </c>
      <c r="V59" t="s">
        <v>26</v>
      </c>
      <c r="W59" t="s">
        <v>38</v>
      </c>
      <c r="X59" t="s">
        <v>45</v>
      </c>
    </row>
    <row r="60" spans="1:24" x14ac:dyDescent="0.35">
      <c r="A60" t="s">
        <v>148</v>
      </c>
      <c r="B60" t="s">
        <v>149</v>
      </c>
      <c r="C60" t="s">
        <v>22</v>
      </c>
      <c r="D60" t="s">
        <v>36</v>
      </c>
      <c r="E60" t="s">
        <v>24</v>
      </c>
      <c r="F60" t="s">
        <v>31</v>
      </c>
      <c r="G60" s="1">
        <v>43221</v>
      </c>
      <c r="H60" s="1">
        <v>33579</v>
      </c>
      <c r="I60">
        <v>55942</v>
      </c>
      <c r="J60">
        <v>5481</v>
      </c>
      <c r="K60">
        <v>11114</v>
      </c>
      <c r="L60">
        <f t="shared" si="0"/>
        <v>72537</v>
      </c>
      <c r="M60">
        <f t="shared" si="1"/>
        <v>870444</v>
      </c>
      <c r="N60" s="3">
        <f t="shared" si="2"/>
        <v>0.19867005112437883</v>
      </c>
      <c r="O60">
        <v>7</v>
      </c>
      <c r="P60">
        <v>86</v>
      </c>
      <c r="Q60">
        <v>1</v>
      </c>
      <c r="R60">
        <v>11</v>
      </c>
      <c r="S60">
        <v>13</v>
      </c>
      <c r="T60">
        <v>82</v>
      </c>
      <c r="V60" t="s">
        <v>26</v>
      </c>
      <c r="W60" t="s">
        <v>26</v>
      </c>
      <c r="X60" t="s">
        <v>39</v>
      </c>
    </row>
    <row r="61" spans="1:24" x14ac:dyDescent="0.35">
      <c r="A61" t="s">
        <v>150</v>
      </c>
      <c r="B61" t="s">
        <v>151</v>
      </c>
      <c r="C61" t="s">
        <v>35</v>
      </c>
      <c r="D61" t="s">
        <v>36</v>
      </c>
      <c r="E61" t="s">
        <v>19</v>
      </c>
      <c r="F61" t="s">
        <v>25</v>
      </c>
      <c r="G61" s="1">
        <v>43791</v>
      </c>
      <c r="H61" s="1">
        <v>38142</v>
      </c>
      <c r="I61">
        <v>65648</v>
      </c>
      <c r="J61">
        <v>4570</v>
      </c>
      <c r="K61">
        <v>13462</v>
      </c>
      <c r="L61">
        <f t="shared" si="0"/>
        <v>83680</v>
      </c>
      <c r="M61">
        <f t="shared" si="1"/>
        <v>1004160</v>
      </c>
      <c r="N61" s="3">
        <f t="shared" si="2"/>
        <v>0.20506336826712163</v>
      </c>
      <c r="O61">
        <v>15</v>
      </c>
      <c r="P61">
        <v>100</v>
      </c>
      <c r="Q61">
        <v>1</v>
      </c>
      <c r="R61">
        <v>18</v>
      </c>
      <c r="S61">
        <v>8</v>
      </c>
      <c r="T61">
        <v>71</v>
      </c>
      <c r="V61" t="s">
        <v>26</v>
      </c>
      <c r="W61" t="s">
        <v>26</v>
      </c>
      <c r="X61" t="s">
        <v>39</v>
      </c>
    </row>
    <row r="62" spans="1:24" x14ac:dyDescent="0.35">
      <c r="A62" t="s">
        <v>152</v>
      </c>
      <c r="B62" t="s">
        <v>153</v>
      </c>
      <c r="C62" t="s">
        <v>22</v>
      </c>
      <c r="D62" t="s">
        <v>59</v>
      </c>
      <c r="E62" t="s">
        <v>37</v>
      </c>
      <c r="F62" t="s">
        <v>44</v>
      </c>
      <c r="G62" s="1">
        <v>43441</v>
      </c>
      <c r="H62" s="1">
        <v>35328</v>
      </c>
      <c r="I62">
        <v>41308</v>
      </c>
      <c r="J62">
        <v>6781</v>
      </c>
      <c r="K62">
        <v>6872</v>
      </c>
      <c r="L62">
        <f t="shared" si="0"/>
        <v>54961</v>
      </c>
      <c r="M62">
        <f t="shared" si="1"/>
        <v>659532</v>
      </c>
      <c r="N62" s="3">
        <f t="shared" si="2"/>
        <v>0.16636002711339207</v>
      </c>
      <c r="O62">
        <v>9</v>
      </c>
      <c r="P62">
        <v>88</v>
      </c>
      <c r="Q62">
        <v>5</v>
      </c>
      <c r="R62">
        <v>67</v>
      </c>
      <c r="S62">
        <v>2</v>
      </c>
      <c r="T62">
        <v>56</v>
      </c>
      <c r="V62" t="s">
        <v>38</v>
      </c>
      <c r="W62" t="s">
        <v>26</v>
      </c>
      <c r="X62" t="s">
        <v>49</v>
      </c>
    </row>
    <row r="63" spans="1:24" x14ac:dyDescent="0.35">
      <c r="A63" t="s">
        <v>154</v>
      </c>
      <c r="B63" t="s">
        <v>87</v>
      </c>
      <c r="C63" t="s">
        <v>35</v>
      </c>
      <c r="D63" t="s">
        <v>23</v>
      </c>
      <c r="E63" t="s">
        <v>37</v>
      </c>
      <c r="F63" t="s">
        <v>65</v>
      </c>
      <c r="G63" s="1">
        <v>42735</v>
      </c>
      <c r="H63" s="1">
        <v>33157</v>
      </c>
      <c r="I63">
        <v>48519</v>
      </c>
      <c r="J63">
        <v>13627</v>
      </c>
      <c r="K63">
        <v>12062</v>
      </c>
      <c r="L63">
        <f t="shared" si="0"/>
        <v>74208</v>
      </c>
      <c r="M63">
        <f t="shared" si="1"/>
        <v>890496</v>
      </c>
      <c r="N63" s="3">
        <f t="shared" si="2"/>
        <v>0.24860363981120798</v>
      </c>
      <c r="O63">
        <v>11</v>
      </c>
      <c r="P63">
        <v>86</v>
      </c>
      <c r="Q63">
        <v>4</v>
      </c>
      <c r="R63">
        <v>18</v>
      </c>
      <c r="S63">
        <v>24</v>
      </c>
      <c r="T63">
        <v>93</v>
      </c>
      <c r="V63" t="s">
        <v>26</v>
      </c>
      <c r="W63" t="s">
        <v>26</v>
      </c>
      <c r="X63" t="s">
        <v>87</v>
      </c>
    </row>
    <row r="64" spans="1:24" x14ac:dyDescent="0.35">
      <c r="A64" t="s">
        <v>155</v>
      </c>
      <c r="B64" t="s">
        <v>95</v>
      </c>
      <c r="C64" t="s">
        <v>35</v>
      </c>
      <c r="D64" t="s">
        <v>64</v>
      </c>
      <c r="E64" t="s">
        <v>24</v>
      </c>
      <c r="F64" t="s">
        <v>31</v>
      </c>
      <c r="G64" s="1">
        <v>43505</v>
      </c>
      <c r="H64" s="1">
        <v>35700</v>
      </c>
      <c r="I64">
        <v>95068</v>
      </c>
      <c r="J64">
        <v>14509</v>
      </c>
      <c r="K64">
        <v>8091</v>
      </c>
      <c r="L64">
        <f t="shared" si="0"/>
        <v>117668</v>
      </c>
      <c r="M64">
        <f t="shared" si="1"/>
        <v>1412016</v>
      </c>
      <c r="N64" s="3">
        <f t="shared" si="2"/>
        <v>8.5107501998569451E-2</v>
      </c>
      <c r="O64">
        <v>1</v>
      </c>
      <c r="P64">
        <v>87</v>
      </c>
      <c r="Q64">
        <v>4</v>
      </c>
      <c r="R64">
        <v>28</v>
      </c>
      <c r="S64">
        <v>21</v>
      </c>
      <c r="T64">
        <v>88</v>
      </c>
      <c r="V64" t="s">
        <v>26</v>
      </c>
      <c r="W64" t="s">
        <v>26</v>
      </c>
      <c r="X64" t="s">
        <v>87</v>
      </c>
    </row>
    <row r="65" spans="1:24" x14ac:dyDescent="0.35">
      <c r="A65" t="s">
        <v>156</v>
      </c>
      <c r="B65" t="s">
        <v>157</v>
      </c>
      <c r="C65" t="s">
        <v>35</v>
      </c>
      <c r="D65" t="s">
        <v>59</v>
      </c>
      <c r="E65" t="s">
        <v>19</v>
      </c>
      <c r="F65" t="s">
        <v>48</v>
      </c>
      <c r="G65" s="1">
        <v>44918</v>
      </c>
      <c r="H65" s="1">
        <v>29282</v>
      </c>
      <c r="I65">
        <v>86112</v>
      </c>
      <c r="J65">
        <v>8517</v>
      </c>
      <c r="K65">
        <v>8440</v>
      </c>
      <c r="L65">
        <f t="shared" si="0"/>
        <v>103069</v>
      </c>
      <c r="M65">
        <f t="shared" si="1"/>
        <v>1236828</v>
      </c>
      <c r="N65" s="3">
        <f t="shared" si="2"/>
        <v>9.8011891490152353E-2</v>
      </c>
      <c r="O65">
        <v>2</v>
      </c>
      <c r="P65">
        <v>87</v>
      </c>
      <c r="Q65">
        <v>1</v>
      </c>
      <c r="R65">
        <v>33</v>
      </c>
      <c r="S65">
        <v>4</v>
      </c>
      <c r="T65">
        <v>67</v>
      </c>
      <c r="V65" t="s">
        <v>26</v>
      </c>
      <c r="W65" t="s">
        <v>26</v>
      </c>
      <c r="X65" t="s">
        <v>39</v>
      </c>
    </row>
    <row r="66" spans="1:24" x14ac:dyDescent="0.35">
      <c r="A66" t="s">
        <v>158</v>
      </c>
      <c r="B66" t="s">
        <v>159</v>
      </c>
      <c r="C66" t="s">
        <v>22</v>
      </c>
      <c r="D66" t="s">
        <v>64</v>
      </c>
      <c r="E66" t="s">
        <v>19</v>
      </c>
      <c r="F66" t="s">
        <v>65</v>
      </c>
      <c r="G66" s="1">
        <v>42713</v>
      </c>
      <c r="H66" s="1">
        <v>33751</v>
      </c>
      <c r="I66">
        <v>77600</v>
      </c>
      <c r="J66">
        <v>11963</v>
      </c>
      <c r="K66">
        <v>8772</v>
      </c>
      <c r="L66">
        <f t="shared" si="0"/>
        <v>98335</v>
      </c>
      <c r="M66">
        <f t="shared" si="1"/>
        <v>1180020</v>
      </c>
      <c r="N66" s="3">
        <f t="shared" si="2"/>
        <v>0.11304123711340207</v>
      </c>
      <c r="O66">
        <v>2</v>
      </c>
      <c r="P66">
        <v>92</v>
      </c>
      <c r="Q66">
        <v>5</v>
      </c>
      <c r="R66">
        <v>53</v>
      </c>
      <c r="S66">
        <v>8</v>
      </c>
      <c r="T66">
        <v>100</v>
      </c>
      <c r="V66" t="s">
        <v>26</v>
      </c>
      <c r="W66" t="s">
        <v>26</v>
      </c>
      <c r="X66" t="s">
        <v>87</v>
      </c>
    </row>
    <row r="67" spans="1:24" x14ac:dyDescent="0.35">
      <c r="A67" t="s">
        <v>160</v>
      </c>
      <c r="B67" t="s">
        <v>151</v>
      </c>
      <c r="C67" t="s">
        <v>35</v>
      </c>
      <c r="D67" t="s">
        <v>59</v>
      </c>
      <c r="E67" t="s">
        <v>24</v>
      </c>
      <c r="F67" t="s">
        <v>25</v>
      </c>
      <c r="G67" s="1">
        <v>45726</v>
      </c>
      <c r="H67" s="1">
        <v>35224</v>
      </c>
      <c r="I67">
        <v>47012</v>
      </c>
      <c r="J67">
        <v>9839</v>
      </c>
      <c r="K67">
        <v>5550</v>
      </c>
      <c r="L67">
        <f t="shared" ref="L67:L130" si="3">SUM(I67:K67)</f>
        <v>62401</v>
      </c>
      <c r="M67">
        <f t="shared" ref="M67:M130" si="4">L67*12</f>
        <v>748812</v>
      </c>
      <c r="N67" s="3">
        <f t="shared" ref="N67:N130" si="5">K67/I67</f>
        <v>0.11805496468986641</v>
      </c>
      <c r="O67">
        <v>15</v>
      </c>
      <c r="P67">
        <v>97</v>
      </c>
      <c r="Q67">
        <v>4</v>
      </c>
      <c r="R67">
        <v>79</v>
      </c>
      <c r="S67">
        <v>1</v>
      </c>
      <c r="T67">
        <v>53</v>
      </c>
      <c r="V67" t="s">
        <v>26</v>
      </c>
      <c r="W67" t="s">
        <v>38</v>
      </c>
      <c r="X67" t="s">
        <v>87</v>
      </c>
    </row>
    <row r="68" spans="1:24" x14ac:dyDescent="0.35">
      <c r="A68" t="s">
        <v>161</v>
      </c>
      <c r="B68" t="s">
        <v>162</v>
      </c>
      <c r="C68" t="s">
        <v>22</v>
      </c>
      <c r="D68" t="s">
        <v>56</v>
      </c>
      <c r="E68" t="s">
        <v>19</v>
      </c>
      <c r="F68" t="s">
        <v>44</v>
      </c>
      <c r="G68" s="1">
        <v>42171</v>
      </c>
      <c r="H68" s="1">
        <v>35339</v>
      </c>
      <c r="I68">
        <v>42204</v>
      </c>
      <c r="J68">
        <v>6162</v>
      </c>
      <c r="K68">
        <v>4639</v>
      </c>
      <c r="L68">
        <f t="shared" si="3"/>
        <v>53005</v>
      </c>
      <c r="M68">
        <f t="shared" si="4"/>
        <v>636060</v>
      </c>
      <c r="N68" s="3">
        <f t="shared" si="5"/>
        <v>0.10991849113828073</v>
      </c>
      <c r="O68">
        <v>1</v>
      </c>
      <c r="P68">
        <v>82</v>
      </c>
      <c r="Q68">
        <v>1</v>
      </c>
      <c r="R68">
        <v>65</v>
      </c>
      <c r="S68">
        <v>17</v>
      </c>
      <c r="T68">
        <v>82</v>
      </c>
      <c r="V68" t="s">
        <v>26</v>
      </c>
      <c r="W68" t="s">
        <v>26</v>
      </c>
      <c r="X68" t="s">
        <v>45</v>
      </c>
    </row>
    <row r="69" spans="1:24" x14ac:dyDescent="0.35">
      <c r="A69" t="s">
        <v>163</v>
      </c>
      <c r="B69" t="s">
        <v>164</v>
      </c>
      <c r="C69" t="s">
        <v>22</v>
      </c>
      <c r="D69" t="s">
        <v>36</v>
      </c>
      <c r="E69" t="s">
        <v>37</v>
      </c>
      <c r="F69" t="s">
        <v>52</v>
      </c>
      <c r="G69" s="1">
        <v>44662</v>
      </c>
      <c r="H69" s="1">
        <v>32478</v>
      </c>
      <c r="I69">
        <v>92682</v>
      </c>
      <c r="J69">
        <v>13194</v>
      </c>
      <c r="K69">
        <v>4498</v>
      </c>
      <c r="L69">
        <f t="shared" si="3"/>
        <v>110374</v>
      </c>
      <c r="M69">
        <f t="shared" si="4"/>
        <v>1324488</v>
      </c>
      <c r="N69" s="3">
        <f t="shared" si="5"/>
        <v>4.8531537946958414E-2</v>
      </c>
      <c r="O69">
        <v>7</v>
      </c>
      <c r="P69">
        <v>81</v>
      </c>
      <c r="Q69">
        <v>5</v>
      </c>
      <c r="R69">
        <v>24</v>
      </c>
      <c r="S69">
        <v>20</v>
      </c>
      <c r="T69">
        <v>69</v>
      </c>
      <c r="V69" t="s">
        <v>26</v>
      </c>
      <c r="W69" t="s">
        <v>26</v>
      </c>
      <c r="X69" t="s">
        <v>39</v>
      </c>
    </row>
    <row r="70" spans="1:24" x14ac:dyDescent="0.35">
      <c r="A70" t="s">
        <v>165</v>
      </c>
      <c r="B70" t="s">
        <v>135</v>
      </c>
      <c r="C70" t="s">
        <v>35</v>
      </c>
      <c r="D70" t="s">
        <v>36</v>
      </c>
      <c r="E70" t="s">
        <v>92</v>
      </c>
      <c r="F70" t="s">
        <v>65</v>
      </c>
      <c r="G70" s="1">
        <v>42630</v>
      </c>
      <c r="H70" s="1">
        <v>30482</v>
      </c>
      <c r="I70">
        <v>73774</v>
      </c>
      <c r="J70">
        <v>13385</v>
      </c>
      <c r="K70">
        <v>4811</v>
      </c>
      <c r="L70">
        <f t="shared" si="3"/>
        <v>91970</v>
      </c>
      <c r="M70">
        <f t="shared" si="4"/>
        <v>1103640</v>
      </c>
      <c r="N70" s="3">
        <f t="shared" si="5"/>
        <v>6.5212676552715051E-2</v>
      </c>
      <c r="O70">
        <v>12</v>
      </c>
      <c r="P70">
        <v>83</v>
      </c>
      <c r="Q70">
        <v>5</v>
      </c>
      <c r="R70">
        <v>56</v>
      </c>
      <c r="S70">
        <v>1</v>
      </c>
      <c r="T70">
        <v>95</v>
      </c>
      <c r="V70" t="s">
        <v>38</v>
      </c>
      <c r="W70" t="s">
        <v>26</v>
      </c>
      <c r="X70" t="s">
        <v>27</v>
      </c>
    </row>
    <row r="71" spans="1:24" x14ac:dyDescent="0.35">
      <c r="A71" t="s">
        <v>166</v>
      </c>
      <c r="B71" t="s">
        <v>167</v>
      </c>
      <c r="C71" t="s">
        <v>22</v>
      </c>
      <c r="D71" t="s">
        <v>59</v>
      </c>
      <c r="E71" t="s">
        <v>19</v>
      </c>
      <c r="F71" t="s">
        <v>44</v>
      </c>
      <c r="G71" s="1">
        <v>44977</v>
      </c>
      <c r="H71" s="1">
        <v>34776</v>
      </c>
      <c r="I71">
        <v>38931</v>
      </c>
      <c r="J71">
        <v>5806</v>
      </c>
      <c r="K71">
        <v>11409</v>
      </c>
      <c r="L71">
        <f t="shared" si="3"/>
        <v>56146</v>
      </c>
      <c r="M71">
        <f t="shared" si="4"/>
        <v>673752</v>
      </c>
      <c r="N71" s="3">
        <f t="shared" si="5"/>
        <v>0.2930569469060646</v>
      </c>
      <c r="O71">
        <v>7</v>
      </c>
      <c r="P71">
        <v>89</v>
      </c>
      <c r="Q71">
        <v>4</v>
      </c>
      <c r="R71">
        <v>31</v>
      </c>
      <c r="S71">
        <v>14</v>
      </c>
      <c r="T71">
        <v>87</v>
      </c>
      <c r="V71" t="s">
        <v>26</v>
      </c>
      <c r="W71" t="s">
        <v>26</v>
      </c>
      <c r="X71" t="s">
        <v>87</v>
      </c>
    </row>
    <row r="72" spans="1:24" x14ac:dyDescent="0.35">
      <c r="A72" t="s">
        <v>168</v>
      </c>
      <c r="B72" t="s">
        <v>169</v>
      </c>
      <c r="C72" t="s">
        <v>35</v>
      </c>
      <c r="D72" t="s">
        <v>23</v>
      </c>
      <c r="E72" t="s">
        <v>19</v>
      </c>
      <c r="F72" t="s">
        <v>52</v>
      </c>
      <c r="G72" s="1">
        <v>45142</v>
      </c>
      <c r="H72" s="1">
        <v>33389</v>
      </c>
      <c r="I72">
        <v>88643</v>
      </c>
      <c r="J72">
        <v>9047</v>
      </c>
      <c r="K72">
        <v>9345</v>
      </c>
      <c r="L72">
        <f t="shared" si="3"/>
        <v>107035</v>
      </c>
      <c r="M72">
        <f t="shared" si="4"/>
        <v>1284420</v>
      </c>
      <c r="N72" s="3">
        <f t="shared" si="5"/>
        <v>0.10542287603082026</v>
      </c>
      <c r="O72">
        <v>19</v>
      </c>
      <c r="P72">
        <v>91</v>
      </c>
      <c r="Q72">
        <v>2</v>
      </c>
      <c r="R72">
        <v>58</v>
      </c>
      <c r="S72">
        <v>15</v>
      </c>
      <c r="T72">
        <v>83</v>
      </c>
      <c r="V72" t="s">
        <v>38</v>
      </c>
      <c r="W72" t="s">
        <v>26</v>
      </c>
      <c r="X72" t="s">
        <v>49</v>
      </c>
    </row>
    <row r="73" spans="1:24" x14ac:dyDescent="0.35">
      <c r="A73" t="s">
        <v>170</v>
      </c>
      <c r="B73" t="s">
        <v>141</v>
      </c>
      <c r="C73" t="s">
        <v>35</v>
      </c>
      <c r="D73" t="s">
        <v>59</v>
      </c>
      <c r="E73" t="s">
        <v>30</v>
      </c>
      <c r="F73" t="s">
        <v>52</v>
      </c>
      <c r="G73" s="1">
        <v>43482</v>
      </c>
      <c r="H73" s="1">
        <v>35666</v>
      </c>
      <c r="I73">
        <v>89620</v>
      </c>
      <c r="J73">
        <v>13552</v>
      </c>
      <c r="K73">
        <v>4456</v>
      </c>
      <c r="L73">
        <f t="shared" si="3"/>
        <v>107628</v>
      </c>
      <c r="M73">
        <f t="shared" si="4"/>
        <v>1291536</v>
      </c>
      <c r="N73" s="3">
        <f t="shared" si="5"/>
        <v>4.9721044409729971E-2</v>
      </c>
      <c r="O73">
        <v>7</v>
      </c>
      <c r="P73">
        <v>90</v>
      </c>
      <c r="Q73">
        <v>1</v>
      </c>
      <c r="R73">
        <v>26</v>
      </c>
      <c r="S73">
        <v>20</v>
      </c>
      <c r="T73">
        <v>64</v>
      </c>
      <c r="V73" t="s">
        <v>26</v>
      </c>
      <c r="W73" t="s">
        <v>26</v>
      </c>
      <c r="X73" t="s">
        <v>45</v>
      </c>
    </row>
    <row r="74" spans="1:24" x14ac:dyDescent="0.35">
      <c r="A74" t="s">
        <v>171</v>
      </c>
      <c r="B74" t="s">
        <v>76</v>
      </c>
      <c r="C74" t="s">
        <v>22</v>
      </c>
      <c r="D74" t="s">
        <v>23</v>
      </c>
      <c r="E74" t="s">
        <v>92</v>
      </c>
      <c r="F74" t="s">
        <v>31</v>
      </c>
      <c r="G74" s="1">
        <v>44109</v>
      </c>
      <c r="H74" s="1">
        <v>35487</v>
      </c>
      <c r="I74">
        <v>74614</v>
      </c>
      <c r="J74">
        <v>15266</v>
      </c>
      <c r="K74">
        <v>4119</v>
      </c>
      <c r="L74">
        <f t="shared" si="3"/>
        <v>93999</v>
      </c>
      <c r="M74">
        <f t="shared" si="4"/>
        <v>1127988</v>
      </c>
      <c r="N74" s="3">
        <f t="shared" si="5"/>
        <v>5.5204117189803524E-2</v>
      </c>
      <c r="O74">
        <v>1</v>
      </c>
      <c r="P74">
        <v>82</v>
      </c>
      <c r="Q74">
        <v>5</v>
      </c>
      <c r="R74">
        <v>77</v>
      </c>
      <c r="S74">
        <v>7</v>
      </c>
      <c r="T74">
        <v>92</v>
      </c>
      <c r="V74" t="s">
        <v>26</v>
      </c>
      <c r="W74" t="s">
        <v>26</v>
      </c>
      <c r="X74" t="s">
        <v>87</v>
      </c>
    </row>
    <row r="75" spans="1:24" x14ac:dyDescent="0.35">
      <c r="A75" t="s">
        <v>172</v>
      </c>
      <c r="B75" t="s">
        <v>49</v>
      </c>
      <c r="C75" t="s">
        <v>35</v>
      </c>
      <c r="D75" t="s">
        <v>36</v>
      </c>
      <c r="E75" t="s">
        <v>92</v>
      </c>
      <c r="F75" t="s">
        <v>52</v>
      </c>
      <c r="G75" s="1">
        <v>43609</v>
      </c>
      <c r="H75" s="1">
        <v>35730</v>
      </c>
      <c r="I75">
        <v>98709</v>
      </c>
      <c r="J75">
        <v>17896</v>
      </c>
      <c r="K75">
        <v>2056</v>
      </c>
      <c r="L75">
        <f t="shared" si="3"/>
        <v>118661</v>
      </c>
      <c r="M75">
        <f t="shared" si="4"/>
        <v>1423932</v>
      </c>
      <c r="N75" s="3">
        <f t="shared" si="5"/>
        <v>2.0828901113373655E-2</v>
      </c>
      <c r="O75">
        <v>18</v>
      </c>
      <c r="P75">
        <v>89</v>
      </c>
      <c r="Q75">
        <v>4</v>
      </c>
      <c r="R75">
        <v>23</v>
      </c>
      <c r="S75">
        <v>18</v>
      </c>
      <c r="T75">
        <v>77</v>
      </c>
      <c r="V75" t="s">
        <v>26</v>
      </c>
      <c r="W75" t="s">
        <v>26</v>
      </c>
      <c r="X75" t="s">
        <v>27</v>
      </c>
    </row>
    <row r="76" spans="1:24" x14ac:dyDescent="0.35">
      <c r="A76" t="s">
        <v>173</v>
      </c>
      <c r="B76" t="s">
        <v>80</v>
      </c>
      <c r="C76" t="s">
        <v>22</v>
      </c>
      <c r="D76" t="s">
        <v>64</v>
      </c>
      <c r="E76" t="s">
        <v>37</v>
      </c>
      <c r="F76" t="s">
        <v>52</v>
      </c>
      <c r="G76" s="1">
        <v>43404</v>
      </c>
      <c r="H76" s="1">
        <v>36726</v>
      </c>
      <c r="I76">
        <v>39396</v>
      </c>
      <c r="J76">
        <v>3302</v>
      </c>
      <c r="K76">
        <v>9154</v>
      </c>
      <c r="L76">
        <f t="shared" si="3"/>
        <v>51852</v>
      </c>
      <c r="M76">
        <f t="shared" si="4"/>
        <v>622224</v>
      </c>
      <c r="N76" s="3">
        <f t="shared" si="5"/>
        <v>0.23235861508782618</v>
      </c>
      <c r="O76">
        <v>1</v>
      </c>
      <c r="P76">
        <v>99</v>
      </c>
      <c r="Q76">
        <v>1</v>
      </c>
      <c r="R76">
        <v>51</v>
      </c>
      <c r="S76">
        <v>2</v>
      </c>
      <c r="T76">
        <v>60</v>
      </c>
      <c r="V76" t="s">
        <v>38</v>
      </c>
      <c r="W76" t="s">
        <v>26</v>
      </c>
      <c r="X76" t="s">
        <v>87</v>
      </c>
    </row>
    <row r="77" spans="1:24" x14ac:dyDescent="0.35">
      <c r="A77" t="s">
        <v>174</v>
      </c>
      <c r="B77" t="s">
        <v>91</v>
      </c>
      <c r="C77" t="s">
        <v>22</v>
      </c>
      <c r="D77" t="s">
        <v>36</v>
      </c>
      <c r="E77" t="s">
        <v>92</v>
      </c>
      <c r="F77" t="s">
        <v>65</v>
      </c>
      <c r="G77" s="1">
        <v>45083</v>
      </c>
      <c r="H77" s="1">
        <v>33256</v>
      </c>
      <c r="I77">
        <v>82981</v>
      </c>
      <c r="J77">
        <v>3377</v>
      </c>
      <c r="K77">
        <v>1593</v>
      </c>
      <c r="L77">
        <f t="shared" si="3"/>
        <v>87951</v>
      </c>
      <c r="M77">
        <f t="shared" si="4"/>
        <v>1055412</v>
      </c>
      <c r="N77" s="3">
        <f t="shared" si="5"/>
        <v>1.9197165616225403E-2</v>
      </c>
      <c r="O77">
        <v>3</v>
      </c>
      <c r="P77">
        <v>96</v>
      </c>
      <c r="Q77">
        <v>2</v>
      </c>
      <c r="R77">
        <v>61</v>
      </c>
      <c r="S77">
        <v>10</v>
      </c>
      <c r="T77">
        <v>85</v>
      </c>
      <c r="V77" t="s">
        <v>26</v>
      </c>
      <c r="W77" t="s">
        <v>26</v>
      </c>
      <c r="X77" t="s">
        <v>49</v>
      </c>
    </row>
    <row r="78" spans="1:24" x14ac:dyDescent="0.35">
      <c r="A78" t="s">
        <v>175</v>
      </c>
      <c r="B78" t="s">
        <v>159</v>
      </c>
      <c r="C78" t="s">
        <v>35</v>
      </c>
      <c r="D78" t="s">
        <v>59</v>
      </c>
      <c r="E78" t="s">
        <v>37</v>
      </c>
      <c r="F78" t="s">
        <v>31</v>
      </c>
      <c r="G78" s="1">
        <v>44750</v>
      </c>
      <c r="H78" s="1">
        <v>33118</v>
      </c>
      <c r="I78">
        <v>40068</v>
      </c>
      <c r="J78">
        <v>9927</v>
      </c>
      <c r="K78">
        <v>2784</v>
      </c>
      <c r="L78">
        <f t="shared" si="3"/>
        <v>52779</v>
      </c>
      <c r="M78">
        <f t="shared" si="4"/>
        <v>633348</v>
      </c>
      <c r="N78" s="3">
        <f t="shared" si="5"/>
        <v>6.9481880802635523E-2</v>
      </c>
      <c r="O78">
        <v>15</v>
      </c>
      <c r="P78">
        <v>82</v>
      </c>
      <c r="Q78">
        <v>3</v>
      </c>
      <c r="R78">
        <v>9</v>
      </c>
      <c r="S78">
        <v>4</v>
      </c>
      <c r="T78">
        <v>78</v>
      </c>
      <c r="V78" t="s">
        <v>26</v>
      </c>
      <c r="W78" t="s">
        <v>26</v>
      </c>
      <c r="X78" t="s">
        <v>45</v>
      </c>
    </row>
    <row r="79" spans="1:24" x14ac:dyDescent="0.35">
      <c r="A79" t="s">
        <v>176</v>
      </c>
      <c r="B79" t="s">
        <v>177</v>
      </c>
      <c r="C79" t="s">
        <v>22</v>
      </c>
      <c r="D79" t="s">
        <v>64</v>
      </c>
      <c r="E79" t="s">
        <v>92</v>
      </c>
      <c r="F79" t="s">
        <v>65</v>
      </c>
      <c r="G79" s="1">
        <v>42677</v>
      </c>
      <c r="H79" s="1">
        <v>30615</v>
      </c>
      <c r="I79">
        <v>59834</v>
      </c>
      <c r="J79">
        <v>15566</v>
      </c>
      <c r="K79">
        <v>11224</v>
      </c>
      <c r="L79">
        <f t="shared" si="3"/>
        <v>86624</v>
      </c>
      <c r="M79">
        <f t="shared" si="4"/>
        <v>1039488</v>
      </c>
      <c r="N79" s="3">
        <f t="shared" si="5"/>
        <v>0.18758565364174215</v>
      </c>
      <c r="O79">
        <v>10</v>
      </c>
      <c r="P79">
        <v>83</v>
      </c>
      <c r="Q79">
        <v>2</v>
      </c>
      <c r="R79">
        <v>30</v>
      </c>
      <c r="S79">
        <v>0</v>
      </c>
      <c r="T79">
        <v>93</v>
      </c>
      <c r="V79" t="s">
        <v>26</v>
      </c>
      <c r="W79" t="s">
        <v>26</v>
      </c>
      <c r="X79" t="s">
        <v>27</v>
      </c>
    </row>
    <row r="80" spans="1:24" x14ac:dyDescent="0.35">
      <c r="A80" t="s">
        <v>178</v>
      </c>
      <c r="B80" t="s">
        <v>179</v>
      </c>
      <c r="C80" t="s">
        <v>22</v>
      </c>
      <c r="D80" t="s">
        <v>42</v>
      </c>
      <c r="E80" t="s">
        <v>24</v>
      </c>
      <c r="F80" t="s">
        <v>25</v>
      </c>
      <c r="G80" s="1">
        <v>45296</v>
      </c>
      <c r="H80" s="1">
        <v>30260</v>
      </c>
      <c r="I80">
        <v>61652</v>
      </c>
      <c r="J80">
        <v>4292</v>
      </c>
      <c r="K80">
        <v>13650</v>
      </c>
      <c r="L80">
        <f t="shared" si="3"/>
        <v>79594</v>
      </c>
      <c r="M80">
        <f t="shared" si="4"/>
        <v>955128</v>
      </c>
      <c r="N80" s="3">
        <f t="shared" si="5"/>
        <v>0.22140400960228379</v>
      </c>
      <c r="O80">
        <v>17</v>
      </c>
      <c r="P80">
        <v>100</v>
      </c>
      <c r="Q80">
        <v>5</v>
      </c>
      <c r="R80">
        <v>50</v>
      </c>
      <c r="S80">
        <v>7</v>
      </c>
      <c r="T80">
        <v>73</v>
      </c>
      <c r="V80" t="s">
        <v>26</v>
      </c>
      <c r="W80" t="s">
        <v>38</v>
      </c>
      <c r="X80" t="s">
        <v>39</v>
      </c>
    </row>
    <row r="81" spans="1:24" x14ac:dyDescent="0.35">
      <c r="A81" t="s">
        <v>180</v>
      </c>
      <c r="B81" t="s">
        <v>181</v>
      </c>
      <c r="C81" t="s">
        <v>35</v>
      </c>
      <c r="D81" t="s">
        <v>23</v>
      </c>
      <c r="E81" t="s">
        <v>30</v>
      </c>
      <c r="F81" t="s">
        <v>25</v>
      </c>
      <c r="G81" s="1">
        <v>45209</v>
      </c>
      <c r="H81" s="1">
        <v>30124</v>
      </c>
      <c r="I81">
        <v>39150</v>
      </c>
      <c r="J81">
        <v>4651</v>
      </c>
      <c r="K81">
        <v>8759</v>
      </c>
      <c r="L81">
        <f t="shared" si="3"/>
        <v>52560</v>
      </c>
      <c r="M81">
        <f t="shared" si="4"/>
        <v>630720</v>
      </c>
      <c r="N81" s="3">
        <f t="shared" si="5"/>
        <v>0.22372924648786718</v>
      </c>
      <c r="O81">
        <v>13</v>
      </c>
      <c r="P81">
        <v>86</v>
      </c>
      <c r="Q81">
        <v>5</v>
      </c>
      <c r="R81">
        <v>67</v>
      </c>
      <c r="S81">
        <v>22</v>
      </c>
      <c r="T81">
        <v>97</v>
      </c>
      <c r="V81" t="s">
        <v>38</v>
      </c>
      <c r="W81" t="s">
        <v>26</v>
      </c>
      <c r="X81" t="s">
        <v>45</v>
      </c>
    </row>
    <row r="82" spans="1:24" x14ac:dyDescent="0.35">
      <c r="A82" t="s">
        <v>182</v>
      </c>
      <c r="B82" t="s">
        <v>183</v>
      </c>
      <c r="C82" t="s">
        <v>22</v>
      </c>
      <c r="D82" t="s">
        <v>64</v>
      </c>
      <c r="E82" t="s">
        <v>43</v>
      </c>
      <c r="F82" t="s">
        <v>31</v>
      </c>
      <c r="G82" s="1">
        <v>42676</v>
      </c>
      <c r="H82" s="1">
        <v>34178</v>
      </c>
      <c r="I82">
        <v>59045</v>
      </c>
      <c r="J82">
        <v>4031</v>
      </c>
      <c r="K82">
        <v>8321</v>
      </c>
      <c r="L82">
        <f t="shared" si="3"/>
        <v>71397</v>
      </c>
      <c r="M82">
        <f t="shared" si="4"/>
        <v>856764</v>
      </c>
      <c r="N82" s="3">
        <f t="shared" si="5"/>
        <v>0.14092641205859938</v>
      </c>
      <c r="O82">
        <v>1</v>
      </c>
      <c r="P82">
        <v>82</v>
      </c>
      <c r="Q82">
        <v>3</v>
      </c>
      <c r="R82">
        <v>64</v>
      </c>
      <c r="S82">
        <v>2</v>
      </c>
      <c r="T82">
        <v>66</v>
      </c>
      <c r="V82" t="s">
        <v>26</v>
      </c>
      <c r="W82" t="s">
        <v>26</v>
      </c>
      <c r="X82" t="s">
        <v>49</v>
      </c>
    </row>
    <row r="83" spans="1:24" x14ac:dyDescent="0.35">
      <c r="A83" t="s">
        <v>184</v>
      </c>
      <c r="B83" t="s">
        <v>153</v>
      </c>
      <c r="C83" t="s">
        <v>22</v>
      </c>
      <c r="D83" t="s">
        <v>64</v>
      </c>
      <c r="E83" t="s">
        <v>37</v>
      </c>
      <c r="F83" t="s">
        <v>52</v>
      </c>
      <c r="G83" s="1">
        <v>42569</v>
      </c>
      <c r="H83" s="1">
        <v>38020</v>
      </c>
      <c r="I83">
        <v>65548</v>
      </c>
      <c r="J83">
        <v>11736</v>
      </c>
      <c r="K83">
        <v>13132</v>
      </c>
      <c r="L83">
        <f t="shared" si="3"/>
        <v>90416</v>
      </c>
      <c r="M83">
        <f t="shared" si="4"/>
        <v>1084992</v>
      </c>
      <c r="N83" s="3">
        <f t="shared" si="5"/>
        <v>0.20034173430158053</v>
      </c>
      <c r="O83">
        <v>18</v>
      </c>
      <c r="P83">
        <v>90</v>
      </c>
      <c r="Q83">
        <v>4</v>
      </c>
      <c r="R83">
        <v>80</v>
      </c>
      <c r="S83">
        <v>20</v>
      </c>
      <c r="T83">
        <v>86</v>
      </c>
      <c r="V83" t="s">
        <v>26</v>
      </c>
      <c r="W83" t="s">
        <v>26</v>
      </c>
      <c r="X83" t="s">
        <v>87</v>
      </c>
    </row>
    <row r="84" spans="1:24" x14ac:dyDescent="0.35">
      <c r="A84" t="s">
        <v>185</v>
      </c>
      <c r="B84" t="s">
        <v>71</v>
      </c>
      <c r="C84" t="s">
        <v>35</v>
      </c>
      <c r="D84" t="s">
        <v>36</v>
      </c>
      <c r="E84" t="s">
        <v>30</v>
      </c>
      <c r="F84" t="s">
        <v>25</v>
      </c>
      <c r="G84" s="1">
        <v>43935</v>
      </c>
      <c r="H84" s="1">
        <v>33285</v>
      </c>
      <c r="I84">
        <v>83392</v>
      </c>
      <c r="J84">
        <v>9473</v>
      </c>
      <c r="K84">
        <v>4844</v>
      </c>
      <c r="L84">
        <f t="shared" si="3"/>
        <v>97709</v>
      </c>
      <c r="M84">
        <f t="shared" si="4"/>
        <v>1172508</v>
      </c>
      <c r="N84" s="3">
        <f t="shared" si="5"/>
        <v>5.808710667689946E-2</v>
      </c>
      <c r="O84">
        <v>13</v>
      </c>
      <c r="P84">
        <v>89</v>
      </c>
      <c r="Q84">
        <v>3</v>
      </c>
      <c r="R84">
        <v>68</v>
      </c>
      <c r="S84">
        <v>24</v>
      </c>
      <c r="T84">
        <v>84</v>
      </c>
      <c r="V84" t="s">
        <v>26</v>
      </c>
      <c r="W84" t="s">
        <v>26</v>
      </c>
      <c r="X84" t="s">
        <v>49</v>
      </c>
    </row>
    <row r="85" spans="1:24" x14ac:dyDescent="0.35">
      <c r="A85" t="s">
        <v>186</v>
      </c>
      <c r="B85" t="s">
        <v>187</v>
      </c>
      <c r="C85" t="s">
        <v>22</v>
      </c>
      <c r="D85" t="s">
        <v>59</v>
      </c>
      <c r="E85" t="s">
        <v>19</v>
      </c>
      <c r="F85" t="s">
        <v>25</v>
      </c>
      <c r="G85" s="1">
        <v>43804</v>
      </c>
      <c r="H85" s="1">
        <v>31308</v>
      </c>
      <c r="I85">
        <v>43192</v>
      </c>
      <c r="J85">
        <v>10871</v>
      </c>
      <c r="K85">
        <v>8023</v>
      </c>
      <c r="L85">
        <f t="shared" si="3"/>
        <v>62086</v>
      </c>
      <c r="M85">
        <f t="shared" si="4"/>
        <v>745032</v>
      </c>
      <c r="N85" s="3">
        <f t="shared" si="5"/>
        <v>0.18575199110946472</v>
      </c>
      <c r="O85">
        <v>5</v>
      </c>
      <c r="P85">
        <v>94</v>
      </c>
      <c r="Q85">
        <v>1</v>
      </c>
      <c r="R85">
        <v>35</v>
      </c>
      <c r="S85">
        <v>4</v>
      </c>
      <c r="T85">
        <v>65</v>
      </c>
      <c r="V85" t="s">
        <v>38</v>
      </c>
      <c r="W85" t="s">
        <v>26</v>
      </c>
      <c r="X85" t="s">
        <v>32</v>
      </c>
    </row>
    <row r="86" spans="1:24" x14ac:dyDescent="0.35">
      <c r="A86" t="s">
        <v>188</v>
      </c>
      <c r="B86" t="s">
        <v>167</v>
      </c>
      <c r="C86" t="s">
        <v>35</v>
      </c>
      <c r="D86" t="s">
        <v>36</v>
      </c>
      <c r="E86" t="s">
        <v>92</v>
      </c>
      <c r="F86" t="s">
        <v>48</v>
      </c>
      <c r="G86" s="1">
        <v>45804</v>
      </c>
      <c r="H86" s="1">
        <v>36381</v>
      </c>
      <c r="I86">
        <v>63752</v>
      </c>
      <c r="J86">
        <v>4294</v>
      </c>
      <c r="K86">
        <v>5046</v>
      </c>
      <c r="L86">
        <f t="shared" si="3"/>
        <v>73092</v>
      </c>
      <c r="M86">
        <f t="shared" si="4"/>
        <v>877104</v>
      </c>
      <c r="N86" s="3">
        <f t="shared" si="5"/>
        <v>7.9150458024846285E-2</v>
      </c>
      <c r="O86">
        <v>19</v>
      </c>
      <c r="P86">
        <v>81</v>
      </c>
      <c r="Q86">
        <v>5</v>
      </c>
      <c r="R86">
        <v>50</v>
      </c>
      <c r="S86">
        <v>11</v>
      </c>
      <c r="T86">
        <v>77</v>
      </c>
      <c r="V86" t="s">
        <v>38</v>
      </c>
      <c r="W86" t="s">
        <v>26</v>
      </c>
      <c r="X86" t="s">
        <v>27</v>
      </c>
    </row>
    <row r="87" spans="1:24" x14ac:dyDescent="0.35">
      <c r="A87" t="s">
        <v>189</v>
      </c>
      <c r="B87" t="s">
        <v>80</v>
      </c>
      <c r="C87" t="s">
        <v>35</v>
      </c>
      <c r="D87" t="s">
        <v>59</v>
      </c>
      <c r="E87" t="s">
        <v>19</v>
      </c>
      <c r="F87" t="s">
        <v>65</v>
      </c>
      <c r="G87" s="1">
        <v>43876</v>
      </c>
      <c r="H87" s="1">
        <v>30388</v>
      </c>
      <c r="I87">
        <v>52516</v>
      </c>
      <c r="J87">
        <v>6569</v>
      </c>
      <c r="K87">
        <v>12126</v>
      </c>
      <c r="L87">
        <f t="shared" si="3"/>
        <v>71211</v>
      </c>
      <c r="M87">
        <f t="shared" si="4"/>
        <v>854532</v>
      </c>
      <c r="N87" s="3">
        <f t="shared" si="5"/>
        <v>0.23090105872496</v>
      </c>
      <c r="O87">
        <v>6</v>
      </c>
      <c r="P87">
        <v>96</v>
      </c>
      <c r="Q87">
        <v>3</v>
      </c>
      <c r="R87">
        <v>16</v>
      </c>
      <c r="S87">
        <v>10</v>
      </c>
      <c r="T87">
        <v>61</v>
      </c>
      <c r="V87" t="s">
        <v>26</v>
      </c>
      <c r="W87" t="s">
        <v>26</v>
      </c>
      <c r="X87" t="s">
        <v>32</v>
      </c>
    </row>
    <row r="88" spans="1:24" x14ac:dyDescent="0.35">
      <c r="A88" t="s">
        <v>190</v>
      </c>
      <c r="B88" t="s">
        <v>191</v>
      </c>
      <c r="C88" t="s">
        <v>22</v>
      </c>
      <c r="D88" t="s">
        <v>23</v>
      </c>
      <c r="E88" t="s">
        <v>43</v>
      </c>
      <c r="F88" t="s">
        <v>44</v>
      </c>
      <c r="G88" s="1">
        <v>45086</v>
      </c>
      <c r="H88" s="1">
        <v>31822</v>
      </c>
      <c r="I88">
        <v>26020</v>
      </c>
      <c r="J88">
        <v>7750</v>
      </c>
      <c r="K88">
        <v>9253</v>
      </c>
      <c r="L88">
        <f t="shared" si="3"/>
        <v>43023</v>
      </c>
      <c r="M88">
        <f t="shared" si="4"/>
        <v>516276</v>
      </c>
      <c r="N88" s="3">
        <f t="shared" si="5"/>
        <v>0.35561106840891621</v>
      </c>
      <c r="O88">
        <v>20</v>
      </c>
      <c r="P88">
        <v>80</v>
      </c>
      <c r="Q88">
        <v>2</v>
      </c>
      <c r="R88">
        <v>56</v>
      </c>
      <c r="S88">
        <v>13</v>
      </c>
      <c r="T88">
        <v>60</v>
      </c>
      <c r="V88" t="s">
        <v>26</v>
      </c>
      <c r="W88" t="s">
        <v>26</v>
      </c>
      <c r="X88" t="s">
        <v>27</v>
      </c>
    </row>
    <row r="89" spans="1:24" x14ac:dyDescent="0.35">
      <c r="A89" t="s">
        <v>192</v>
      </c>
      <c r="B89" t="s">
        <v>193</v>
      </c>
      <c r="C89" t="s">
        <v>22</v>
      </c>
      <c r="D89" t="s">
        <v>23</v>
      </c>
      <c r="E89" t="s">
        <v>92</v>
      </c>
      <c r="F89" t="s">
        <v>25</v>
      </c>
      <c r="G89" s="1">
        <v>45507</v>
      </c>
      <c r="H89" s="1">
        <v>29873</v>
      </c>
      <c r="I89">
        <v>72746</v>
      </c>
      <c r="J89">
        <v>7804</v>
      </c>
      <c r="K89">
        <v>14797</v>
      </c>
      <c r="L89">
        <f t="shared" si="3"/>
        <v>95347</v>
      </c>
      <c r="M89">
        <f t="shared" si="4"/>
        <v>1144164</v>
      </c>
      <c r="N89" s="3">
        <f t="shared" si="5"/>
        <v>0.2034063728589888</v>
      </c>
      <c r="O89">
        <v>5</v>
      </c>
      <c r="P89">
        <v>93</v>
      </c>
      <c r="Q89">
        <v>5</v>
      </c>
      <c r="R89">
        <v>8</v>
      </c>
      <c r="S89">
        <v>6</v>
      </c>
      <c r="T89">
        <v>98</v>
      </c>
      <c r="V89" t="s">
        <v>26</v>
      </c>
      <c r="W89" t="s">
        <v>26</v>
      </c>
      <c r="X89" t="s">
        <v>87</v>
      </c>
    </row>
    <row r="90" spans="1:24" x14ac:dyDescent="0.35">
      <c r="A90" t="s">
        <v>194</v>
      </c>
      <c r="B90" t="s">
        <v>69</v>
      </c>
      <c r="C90" t="s">
        <v>22</v>
      </c>
      <c r="D90" t="s">
        <v>56</v>
      </c>
      <c r="E90" t="s">
        <v>92</v>
      </c>
      <c r="F90" t="s">
        <v>65</v>
      </c>
      <c r="G90" s="1">
        <v>45220</v>
      </c>
      <c r="H90" s="1">
        <v>38197</v>
      </c>
      <c r="I90">
        <v>95018</v>
      </c>
      <c r="J90">
        <v>16727</v>
      </c>
      <c r="K90">
        <v>9490</v>
      </c>
      <c r="L90">
        <f t="shared" si="3"/>
        <v>121235</v>
      </c>
      <c r="M90">
        <f t="shared" si="4"/>
        <v>1454820</v>
      </c>
      <c r="N90" s="3">
        <f t="shared" si="5"/>
        <v>9.9875813003851899E-2</v>
      </c>
      <c r="O90">
        <v>1</v>
      </c>
      <c r="P90">
        <v>81</v>
      </c>
      <c r="Q90">
        <v>1</v>
      </c>
      <c r="R90">
        <v>31</v>
      </c>
      <c r="S90">
        <v>14</v>
      </c>
      <c r="T90">
        <v>80</v>
      </c>
      <c r="V90" t="s">
        <v>26</v>
      </c>
      <c r="W90" t="s">
        <v>26</v>
      </c>
      <c r="X90" t="s">
        <v>45</v>
      </c>
    </row>
    <row r="91" spans="1:24" x14ac:dyDescent="0.35">
      <c r="A91" t="s">
        <v>195</v>
      </c>
      <c r="B91" t="s">
        <v>196</v>
      </c>
      <c r="C91" t="s">
        <v>35</v>
      </c>
      <c r="D91" t="s">
        <v>23</v>
      </c>
      <c r="E91" t="s">
        <v>30</v>
      </c>
      <c r="F91" t="s">
        <v>25</v>
      </c>
      <c r="G91" s="1">
        <v>45466</v>
      </c>
      <c r="H91" s="1">
        <v>33444</v>
      </c>
      <c r="I91">
        <v>52855</v>
      </c>
      <c r="J91">
        <v>17612</v>
      </c>
      <c r="K91">
        <v>11403</v>
      </c>
      <c r="L91">
        <f t="shared" si="3"/>
        <v>81870</v>
      </c>
      <c r="M91">
        <f t="shared" si="4"/>
        <v>982440</v>
      </c>
      <c r="N91" s="3">
        <f t="shared" si="5"/>
        <v>0.21574117869643364</v>
      </c>
      <c r="O91">
        <v>13</v>
      </c>
      <c r="P91">
        <v>99</v>
      </c>
      <c r="Q91">
        <v>3</v>
      </c>
      <c r="R91">
        <v>64</v>
      </c>
      <c r="S91">
        <v>18</v>
      </c>
      <c r="T91">
        <v>51</v>
      </c>
      <c r="V91" t="s">
        <v>26</v>
      </c>
      <c r="W91" t="s">
        <v>26</v>
      </c>
      <c r="X91" t="s">
        <v>87</v>
      </c>
    </row>
    <row r="92" spans="1:24" x14ac:dyDescent="0.35">
      <c r="A92" t="s">
        <v>197</v>
      </c>
      <c r="B92" t="s">
        <v>198</v>
      </c>
      <c r="C92" t="s">
        <v>35</v>
      </c>
      <c r="D92" t="s">
        <v>64</v>
      </c>
      <c r="E92" t="s">
        <v>37</v>
      </c>
      <c r="F92" t="s">
        <v>25</v>
      </c>
      <c r="G92" s="1">
        <v>43653</v>
      </c>
      <c r="H92" s="1">
        <v>31502</v>
      </c>
      <c r="I92">
        <v>66102</v>
      </c>
      <c r="J92">
        <v>12992</v>
      </c>
      <c r="K92">
        <v>9143</v>
      </c>
      <c r="L92">
        <f t="shared" si="3"/>
        <v>88237</v>
      </c>
      <c r="M92">
        <f t="shared" si="4"/>
        <v>1058844</v>
      </c>
      <c r="N92" s="3">
        <f t="shared" si="5"/>
        <v>0.13831654110314362</v>
      </c>
      <c r="O92">
        <v>18</v>
      </c>
      <c r="P92">
        <v>94</v>
      </c>
      <c r="Q92">
        <v>3</v>
      </c>
      <c r="R92">
        <v>18</v>
      </c>
      <c r="S92">
        <v>25</v>
      </c>
      <c r="T92">
        <v>57</v>
      </c>
      <c r="V92" t="s">
        <v>26</v>
      </c>
      <c r="W92" t="s">
        <v>26</v>
      </c>
      <c r="X92" t="s">
        <v>45</v>
      </c>
    </row>
    <row r="93" spans="1:24" x14ac:dyDescent="0.35">
      <c r="A93" t="s">
        <v>199</v>
      </c>
      <c r="B93" t="s">
        <v>200</v>
      </c>
      <c r="C93" t="s">
        <v>35</v>
      </c>
      <c r="D93" t="s">
        <v>56</v>
      </c>
      <c r="E93" t="s">
        <v>92</v>
      </c>
      <c r="F93" t="s">
        <v>48</v>
      </c>
      <c r="G93" s="1">
        <v>44754</v>
      </c>
      <c r="H93" s="1">
        <v>29597</v>
      </c>
      <c r="I93">
        <v>51633</v>
      </c>
      <c r="J93">
        <v>7870</v>
      </c>
      <c r="K93">
        <v>9191</v>
      </c>
      <c r="L93">
        <f t="shared" si="3"/>
        <v>68694</v>
      </c>
      <c r="M93">
        <f t="shared" si="4"/>
        <v>824328</v>
      </c>
      <c r="N93" s="3">
        <f t="shared" si="5"/>
        <v>0.17800631379156742</v>
      </c>
      <c r="O93">
        <v>14</v>
      </c>
      <c r="P93">
        <v>81</v>
      </c>
      <c r="Q93">
        <v>5</v>
      </c>
      <c r="R93">
        <v>61</v>
      </c>
      <c r="S93">
        <v>14</v>
      </c>
      <c r="T93">
        <v>64</v>
      </c>
      <c r="V93" t="s">
        <v>26</v>
      </c>
      <c r="W93" t="s">
        <v>26</v>
      </c>
      <c r="X93" t="s">
        <v>39</v>
      </c>
    </row>
    <row r="94" spans="1:24" x14ac:dyDescent="0.35">
      <c r="A94" t="s">
        <v>201</v>
      </c>
      <c r="B94" t="s">
        <v>202</v>
      </c>
      <c r="C94" t="s">
        <v>35</v>
      </c>
      <c r="D94" t="s">
        <v>36</v>
      </c>
      <c r="E94" t="s">
        <v>30</v>
      </c>
      <c r="F94" t="s">
        <v>52</v>
      </c>
      <c r="G94" s="1">
        <v>42784</v>
      </c>
      <c r="H94" s="1">
        <v>32459</v>
      </c>
      <c r="I94">
        <v>30775</v>
      </c>
      <c r="J94">
        <v>6595</v>
      </c>
      <c r="K94">
        <v>9606</v>
      </c>
      <c r="L94">
        <f t="shared" si="3"/>
        <v>46976</v>
      </c>
      <c r="M94">
        <f t="shared" si="4"/>
        <v>563712</v>
      </c>
      <c r="N94" s="3">
        <f t="shared" si="5"/>
        <v>0.31213647441104792</v>
      </c>
      <c r="O94">
        <v>17</v>
      </c>
      <c r="P94">
        <v>86</v>
      </c>
      <c r="Q94">
        <v>2</v>
      </c>
      <c r="R94">
        <v>33</v>
      </c>
      <c r="S94">
        <v>13</v>
      </c>
      <c r="T94">
        <v>68</v>
      </c>
      <c r="V94" t="s">
        <v>26</v>
      </c>
      <c r="W94" t="s">
        <v>26</v>
      </c>
      <c r="X94" t="s">
        <v>45</v>
      </c>
    </row>
    <row r="95" spans="1:24" x14ac:dyDescent="0.35">
      <c r="A95" t="s">
        <v>203</v>
      </c>
      <c r="B95" t="s">
        <v>204</v>
      </c>
      <c r="C95" t="s">
        <v>35</v>
      </c>
      <c r="D95" t="s">
        <v>42</v>
      </c>
      <c r="E95" t="s">
        <v>24</v>
      </c>
      <c r="F95" t="s">
        <v>44</v>
      </c>
      <c r="G95" s="1">
        <v>44731</v>
      </c>
      <c r="H95" s="1">
        <v>30562</v>
      </c>
      <c r="I95">
        <v>26864</v>
      </c>
      <c r="J95">
        <v>8345</v>
      </c>
      <c r="K95">
        <v>11925</v>
      </c>
      <c r="L95">
        <f t="shared" si="3"/>
        <v>47134</v>
      </c>
      <c r="M95">
        <f t="shared" si="4"/>
        <v>565608</v>
      </c>
      <c r="N95" s="3">
        <f t="shared" si="5"/>
        <v>0.44390262060750446</v>
      </c>
      <c r="O95">
        <v>13</v>
      </c>
      <c r="P95">
        <v>93</v>
      </c>
      <c r="Q95">
        <v>5</v>
      </c>
      <c r="R95">
        <v>44</v>
      </c>
      <c r="S95">
        <v>18</v>
      </c>
      <c r="T95">
        <v>69</v>
      </c>
      <c r="V95" t="s">
        <v>26</v>
      </c>
      <c r="W95" t="s">
        <v>26</v>
      </c>
      <c r="X95" t="s">
        <v>39</v>
      </c>
    </row>
    <row r="96" spans="1:24" x14ac:dyDescent="0.35">
      <c r="A96" t="s">
        <v>205</v>
      </c>
      <c r="B96" t="s">
        <v>206</v>
      </c>
      <c r="C96" t="s">
        <v>22</v>
      </c>
      <c r="D96" t="s">
        <v>56</v>
      </c>
      <c r="E96" t="s">
        <v>37</v>
      </c>
      <c r="F96" t="s">
        <v>52</v>
      </c>
      <c r="G96" s="1">
        <v>42362</v>
      </c>
      <c r="H96" s="1">
        <v>35168</v>
      </c>
      <c r="I96">
        <v>52123</v>
      </c>
      <c r="J96">
        <v>17765</v>
      </c>
      <c r="K96">
        <v>13024</v>
      </c>
      <c r="L96">
        <f t="shared" si="3"/>
        <v>82912</v>
      </c>
      <c r="M96">
        <f t="shared" si="4"/>
        <v>994944</v>
      </c>
      <c r="N96" s="3">
        <f t="shared" si="5"/>
        <v>0.24987049862824473</v>
      </c>
      <c r="O96">
        <v>2</v>
      </c>
      <c r="P96">
        <v>80</v>
      </c>
      <c r="Q96">
        <v>4</v>
      </c>
      <c r="R96">
        <v>22</v>
      </c>
      <c r="S96">
        <v>19</v>
      </c>
      <c r="T96">
        <v>91</v>
      </c>
      <c r="V96" t="s">
        <v>38</v>
      </c>
      <c r="W96" t="s">
        <v>26</v>
      </c>
      <c r="X96" t="s">
        <v>87</v>
      </c>
    </row>
    <row r="97" spans="1:24" x14ac:dyDescent="0.35">
      <c r="A97" t="s">
        <v>207</v>
      </c>
      <c r="B97" t="s">
        <v>208</v>
      </c>
      <c r="C97" t="s">
        <v>35</v>
      </c>
      <c r="D97" t="s">
        <v>42</v>
      </c>
      <c r="E97" t="s">
        <v>24</v>
      </c>
      <c r="F97" t="s">
        <v>31</v>
      </c>
      <c r="G97" s="1">
        <v>42669</v>
      </c>
      <c r="H97" s="1">
        <v>34272</v>
      </c>
      <c r="I97">
        <v>95255</v>
      </c>
      <c r="J97">
        <v>5763</v>
      </c>
      <c r="K97">
        <v>9533</v>
      </c>
      <c r="L97">
        <f t="shared" si="3"/>
        <v>110551</v>
      </c>
      <c r="M97">
        <f t="shared" si="4"/>
        <v>1326612</v>
      </c>
      <c r="N97" s="3">
        <f t="shared" si="5"/>
        <v>0.10007873602435567</v>
      </c>
      <c r="O97">
        <v>16</v>
      </c>
      <c r="P97">
        <v>97</v>
      </c>
      <c r="Q97">
        <v>1</v>
      </c>
      <c r="R97">
        <v>38</v>
      </c>
      <c r="S97">
        <v>9</v>
      </c>
      <c r="T97">
        <v>68</v>
      </c>
      <c r="V97" t="s">
        <v>26</v>
      </c>
      <c r="W97" t="s">
        <v>26</v>
      </c>
      <c r="X97" t="s">
        <v>32</v>
      </c>
    </row>
    <row r="98" spans="1:24" x14ac:dyDescent="0.35">
      <c r="A98" t="s">
        <v>209</v>
      </c>
      <c r="B98" t="s">
        <v>210</v>
      </c>
      <c r="C98" t="s">
        <v>22</v>
      </c>
      <c r="D98" t="s">
        <v>36</v>
      </c>
      <c r="E98" t="s">
        <v>43</v>
      </c>
      <c r="F98" t="s">
        <v>25</v>
      </c>
      <c r="G98" s="1">
        <v>43068</v>
      </c>
      <c r="H98" s="1">
        <v>30404</v>
      </c>
      <c r="I98">
        <v>95918</v>
      </c>
      <c r="J98">
        <v>6561</v>
      </c>
      <c r="K98">
        <v>1711</v>
      </c>
      <c r="L98">
        <f t="shared" si="3"/>
        <v>104190</v>
      </c>
      <c r="M98">
        <f t="shared" si="4"/>
        <v>1250280</v>
      </c>
      <c r="N98" s="3">
        <f t="shared" si="5"/>
        <v>1.7838153422715237E-2</v>
      </c>
      <c r="O98">
        <v>18</v>
      </c>
      <c r="P98">
        <v>96</v>
      </c>
      <c r="Q98">
        <v>5</v>
      </c>
      <c r="R98">
        <v>58</v>
      </c>
      <c r="S98">
        <v>16</v>
      </c>
      <c r="T98">
        <v>52</v>
      </c>
      <c r="V98" t="s">
        <v>26</v>
      </c>
      <c r="W98" t="s">
        <v>38</v>
      </c>
      <c r="X98" t="s">
        <v>27</v>
      </c>
    </row>
    <row r="99" spans="1:24" x14ac:dyDescent="0.35">
      <c r="A99" t="s">
        <v>211</v>
      </c>
      <c r="B99" t="s">
        <v>212</v>
      </c>
      <c r="C99" t="s">
        <v>35</v>
      </c>
      <c r="D99" t="s">
        <v>36</v>
      </c>
      <c r="E99" t="s">
        <v>19</v>
      </c>
      <c r="F99" t="s">
        <v>65</v>
      </c>
      <c r="G99" s="1">
        <v>44291</v>
      </c>
      <c r="H99" s="1">
        <v>32340</v>
      </c>
      <c r="I99">
        <v>53176</v>
      </c>
      <c r="J99">
        <v>12465</v>
      </c>
      <c r="K99">
        <v>8513</v>
      </c>
      <c r="L99">
        <f t="shared" si="3"/>
        <v>74154</v>
      </c>
      <c r="M99">
        <f t="shared" si="4"/>
        <v>889848</v>
      </c>
      <c r="N99" s="3">
        <f t="shared" si="5"/>
        <v>0.16009101850458854</v>
      </c>
      <c r="O99">
        <v>14</v>
      </c>
      <c r="P99">
        <v>87</v>
      </c>
      <c r="Q99">
        <v>1</v>
      </c>
      <c r="R99">
        <v>21</v>
      </c>
      <c r="S99">
        <v>8</v>
      </c>
      <c r="T99">
        <v>76</v>
      </c>
      <c r="V99" t="s">
        <v>26</v>
      </c>
      <c r="W99" t="s">
        <v>26</v>
      </c>
      <c r="X99" t="s">
        <v>39</v>
      </c>
    </row>
    <row r="100" spans="1:24" x14ac:dyDescent="0.35">
      <c r="A100" t="s">
        <v>213</v>
      </c>
      <c r="B100" t="s">
        <v>21</v>
      </c>
      <c r="C100" t="s">
        <v>35</v>
      </c>
      <c r="D100" t="s">
        <v>42</v>
      </c>
      <c r="E100" t="s">
        <v>43</v>
      </c>
      <c r="F100" t="s">
        <v>25</v>
      </c>
      <c r="G100" s="1">
        <v>42813</v>
      </c>
      <c r="H100" s="1">
        <v>37099</v>
      </c>
      <c r="I100">
        <v>42619</v>
      </c>
      <c r="J100">
        <v>17661</v>
      </c>
      <c r="K100">
        <v>11317</v>
      </c>
      <c r="L100">
        <f t="shared" si="3"/>
        <v>71597</v>
      </c>
      <c r="M100">
        <f t="shared" si="4"/>
        <v>859164</v>
      </c>
      <c r="N100" s="3">
        <f t="shared" si="5"/>
        <v>0.26553884417747953</v>
      </c>
      <c r="O100">
        <v>12</v>
      </c>
      <c r="P100">
        <v>91</v>
      </c>
      <c r="Q100">
        <v>3</v>
      </c>
      <c r="R100">
        <v>41</v>
      </c>
      <c r="S100">
        <v>17</v>
      </c>
      <c r="T100">
        <v>73</v>
      </c>
      <c r="V100" t="s">
        <v>26</v>
      </c>
      <c r="W100" t="s">
        <v>26</v>
      </c>
      <c r="X100" t="s">
        <v>49</v>
      </c>
    </row>
    <row r="101" spans="1:24" x14ac:dyDescent="0.35">
      <c r="A101" t="s">
        <v>214</v>
      </c>
      <c r="B101" t="s">
        <v>215</v>
      </c>
      <c r="C101" t="s">
        <v>22</v>
      </c>
      <c r="D101" t="s">
        <v>36</v>
      </c>
      <c r="E101" t="s">
        <v>24</v>
      </c>
      <c r="F101" t="s">
        <v>65</v>
      </c>
      <c r="G101" s="1">
        <v>44103</v>
      </c>
      <c r="H101" s="1">
        <v>34706</v>
      </c>
      <c r="I101">
        <v>57763</v>
      </c>
      <c r="J101">
        <v>10741</v>
      </c>
      <c r="K101">
        <v>5679</v>
      </c>
      <c r="L101">
        <f t="shared" si="3"/>
        <v>74183</v>
      </c>
      <c r="M101">
        <f t="shared" si="4"/>
        <v>890196</v>
      </c>
      <c r="N101" s="3">
        <f t="shared" si="5"/>
        <v>9.8315530703045204E-2</v>
      </c>
      <c r="O101">
        <v>18</v>
      </c>
      <c r="P101">
        <v>97</v>
      </c>
      <c r="Q101">
        <v>5</v>
      </c>
      <c r="R101">
        <v>28</v>
      </c>
      <c r="S101">
        <v>10</v>
      </c>
      <c r="T101">
        <v>93</v>
      </c>
      <c r="V101" t="s">
        <v>26</v>
      </c>
      <c r="W101" t="s">
        <v>38</v>
      </c>
      <c r="X101" t="s">
        <v>45</v>
      </c>
    </row>
    <row r="102" spans="1:24" x14ac:dyDescent="0.35">
      <c r="A102" t="s">
        <v>216</v>
      </c>
      <c r="B102" t="s">
        <v>217</v>
      </c>
      <c r="C102" t="s">
        <v>35</v>
      </c>
      <c r="D102" t="s">
        <v>59</v>
      </c>
      <c r="E102" t="s">
        <v>24</v>
      </c>
      <c r="F102" t="s">
        <v>44</v>
      </c>
      <c r="G102" s="1">
        <v>44006</v>
      </c>
      <c r="H102" s="1">
        <v>30144</v>
      </c>
      <c r="I102">
        <v>38274</v>
      </c>
      <c r="J102">
        <v>17699</v>
      </c>
      <c r="K102">
        <v>7210</v>
      </c>
      <c r="L102">
        <f t="shared" si="3"/>
        <v>63183</v>
      </c>
      <c r="M102">
        <f t="shared" si="4"/>
        <v>758196</v>
      </c>
      <c r="N102" s="3">
        <f t="shared" si="5"/>
        <v>0.18837853373046978</v>
      </c>
      <c r="O102">
        <v>18</v>
      </c>
      <c r="P102">
        <v>84</v>
      </c>
      <c r="Q102">
        <v>5</v>
      </c>
      <c r="R102">
        <v>37</v>
      </c>
      <c r="S102">
        <v>15</v>
      </c>
      <c r="T102">
        <v>54</v>
      </c>
      <c r="V102" t="s">
        <v>26</v>
      </c>
      <c r="W102" t="s">
        <v>26</v>
      </c>
      <c r="X102" t="s">
        <v>27</v>
      </c>
    </row>
    <row r="103" spans="1:24" x14ac:dyDescent="0.35">
      <c r="A103" t="s">
        <v>218</v>
      </c>
      <c r="B103" t="s">
        <v>204</v>
      </c>
      <c r="C103" t="s">
        <v>22</v>
      </c>
      <c r="D103" t="s">
        <v>23</v>
      </c>
      <c r="E103" t="s">
        <v>24</v>
      </c>
      <c r="F103" t="s">
        <v>65</v>
      </c>
      <c r="G103" s="1">
        <v>44764</v>
      </c>
      <c r="H103" s="1">
        <v>35139</v>
      </c>
      <c r="I103">
        <v>33961</v>
      </c>
      <c r="J103">
        <v>13333</v>
      </c>
      <c r="K103">
        <v>14015</v>
      </c>
      <c r="L103">
        <f t="shared" si="3"/>
        <v>61309</v>
      </c>
      <c r="M103">
        <f t="shared" si="4"/>
        <v>735708</v>
      </c>
      <c r="N103" s="3">
        <f t="shared" si="5"/>
        <v>0.41267924972762876</v>
      </c>
      <c r="O103">
        <v>7</v>
      </c>
      <c r="P103">
        <v>91</v>
      </c>
      <c r="Q103">
        <v>1</v>
      </c>
      <c r="R103">
        <v>55</v>
      </c>
      <c r="S103">
        <v>3</v>
      </c>
      <c r="T103">
        <v>92</v>
      </c>
      <c r="V103" t="s">
        <v>26</v>
      </c>
      <c r="W103" t="s">
        <v>26</v>
      </c>
      <c r="X103" t="s">
        <v>32</v>
      </c>
    </row>
    <row r="104" spans="1:24" x14ac:dyDescent="0.35">
      <c r="A104" t="s">
        <v>219</v>
      </c>
      <c r="B104" t="s">
        <v>220</v>
      </c>
      <c r="C104" t="s">
        <v>22</v>
      </c>
      <c r="D104" t="s">
        <v>42</v>
      </c>
      <c r="E104" t="s">
        <v>92</v>
      </c>
      <c r="F104" t="s">
        <v>25</v>
      </c>
      <c r="G104" s="1">
        <v>42880</v>
      </c>
      <c r="H104" s="1">
        <v>37790</v>
      </c>
      <c r="I104">
        <v>45961</v>
      </c>
      <c r="J104">
        <v>5941</v>
      </c>
      <c r="K104">
        <v>1758</v>
      </c>
      <c r="L104">
        <f t="shared" si="3"/>
        <v>53660</v>
      </c>
      <c r="M104">
        <f t="shared" si="4"/>
        <v>643920</v>
      </c>
      <c r="N104" s="3">
        <f t="shared" si="5"/>
        <v>3.8249820499989123E-2</v>
      </c>
      <c r="O104">
        <v>1</v>
      </c>
      <c r="P104">
        <v>97</v>
      </c>
      <c r="Q104">
        <v>2</v>
      </c>
      <c r="R104">
        <v>15</v>
      </c>
      <c r="S104">
        <v>7</v>
      </c>
      <c r="T104">
        <v>71</v>
      </c>
      <c r="V104" t="s">
        <v>38</v>
      </c>
      <c r="W104" t="s">
        <v>26</v>
      </c>
      <c r="X104" t="s">
        <v>45</v>
      </c>
    </row>
    <row r="105" spans="1:24" x14ac:dyDescent="0.35">
      <c r="A105" t="s">
        <v>221</v>
      </c>
      <c r="B105" t="s">
        <v>86</v>
      </c>
      <c r="C105" t="s">
        <v>35</v>
      </c>
      <c r="D105" t="s">
        <v>36</v>
      </c>
      <c r="E105" t="s">
        <v>92</v>
      </c>
      <c r="F105" t="s">
        <v>48</v>
      </c>
      <c r="G105" s="1">
        <v>42200</v>
      </c>
      <c r="H105" s="1">
        <v>31508</v>
      </c>
      <c r="I105">
        <v>81244</v>
      </c>
      <c r="J105">
        <v>6879</v>
      </c>
      <c r="K105">
        <v>9496</v>
      </c>
      <c r="L105">
        <f t="shared" si="3"/>
        <v>97619</v>
      </c>
      <c r="M105">
        <f t="shared" si="4"/>
        <v>1171428</v>
      </c>
      <c r="N105" s="3">
        <f t="shared" si="5"/>
        <v>0.11688247747525971</v>
      </c>
      <c r="O105">
        <v>4</v>
      </c>
      <c r="P105">
        <v>88</v>
      </c>
      <c r="Q105">
        <v>5</v>
      </c>
      <c r="R105">
        <v>8</v>
      </c>
      <c r="S105">
        <v>24</v>
      </c>
      <c r="T105">
        <v>90</v>
      </c>
      <c r="V105" t="s">
        <v>26</v>
      </c>
      <c r="W105" t="s">
        <v>26</v>
      </c>
      <c r="X105" t="s">
        <v>32</v>
      </c>
    </row>
    <row r="106" spans="1:24" x14ac:dyDescent="0.35">
      <c r="A106" t="s">
        <v>222</v>
      </c>
      <c r="B106" t="s">
        <v>69</v>
      </c>
      <c r="C106" t="s">
        <v>22</v>
      </c>
      <c r="D106" t="s">
        <v>36</v>
      </c>
      <c r="E106" t="s">
        <v>92</v>
      </c>
      <c r="F106" t="s">
        <v>52</v>
      </c>
      <c r="G106" s="1">
        <v>45617</v>
      </c>
      <c r="H106" s="1">
        <v>36415</v>
      </c>
      <c r="I106">
        <v>93719</v>
      </c>
      <c r="J106">
        <v>9717</v>
      </c>
      <c r="K106">
        <v>8441</v>
      </c>
      <c r="L106">
        <f t="shared" si="3"/>
        <v>111877</v>
      </c>
      <c r="M106">
        <f t="shared" si="4"/>
        <v>1342524</v>
      </c>
      <c r="N106" s="3">
        <f t="shared" si="5"/>
        <v>9.006711552620067E-2</v>
      </c>
      <c r="O106">
        <v>2</v>
      </c>
      <c r="P106">
        <v>81</v>
      </c>
      <c r="Q106">
        <v>2</v>
      </c>
      <c r="R106">
        <v>8</v>
      </c>
      <c r="S106">
        <v>20</v>
      </c>
      <c r="T106">
        <v>60</v>
      </c>
      <c r="V106" t="s">
        <v>38</v>
      </c>
      <c r="W106" t="s">
        <v>26</v>
      </c>
      <c r="X106" t="s">
        <v>39</v>
      </c>
    </row>
    <row r="107" spans="1:24" x14ac:dyDescent="0.35">
      <c r="A107" t="s">
        <v>223</v>
      </c>
      <c r="B107" t="s">
        <v>71</v>
      </c>
      <c r="C107" t="s">
        <v>22</v>
      </c>
      <c r="D107" t="s">
        <v>36</v>
      </c>
      <c r="E107" t="s">
        <v>19</v>
      </c>
      <c r="F107" t="s">
        <v>25</v>
      </c>
      <c r="G107" s="1">
        <v>43646</v>
      </c>
      <c r="H107" s="1">
        <v>36895</v>
      </c>
      <c r="I107">
        <v>95683</v>
      </c>
      <c r="J107">
        <v>17649</v>
      </c>
      <c r="K107">
        <v>8527</v>
      </c>
      <c r="L107">
        <f t="shared" si="3"/>
        <v>121859</v>
      </c>
      <c r="M107">
        <f t="shared" si="4"/>
        <v>1462308</v>
      </c>
      <c r="N107" s="3">
        <f t="shared" si="5"/>
        <v>8.9117189051346635E-2</v>
      </c>
      <c r="O107">
        <v>16</v>
      </c>
      <c r="P107">
        <v>89</v>
      </c>
      <c r="Q107">
        <v>1</v>
      </c>
      <c r="R107">
        <v>16</v>
      </c>
      <c r="S107">
        <v>13</v>
      </c>
      <c r="T107">
        <v>81</v>
      </c>
      <c r="V107" t="s">
        <v>26</v>
      </c>
      <c r="W107" t="s">
        <v>26</v>
      </c>
      <c r="X107" t="s">
        <v>32</v>
      </c>
    </row>
    <row r="108" spans="1:24" x14ac:dyDescent="0.35">
      <c r="A108" t="s">
        <v>224</v>
      </c>
      <c r="B108" t="s">
        <v>146</v>
      </c>
      <c r="C108" t="s">
        <v>35</v>
      </c>
      <c r="D108" t="s">
        <v>42</v>
      </c>
      <c r="E108" t="s">
        <v>92</v>
      </c>
      <c r="F108" t="s">
        <v>44</v>
      </c>
      <c r="G108" s="1">
        <v>43343</v>
      </c>
      <c r="H108" s="1">
        <v>34992</v>
      </c>
      <c r="I108">
        <v>42477</v>
      </c>
      <c r="J108">
        <v>8799</v>
      </c>
      <c r="K108">
        <v>2678</v>
      </c>
      <c r="L108">
        <f t="shared" si="3"/>
        <v>53954</v>
      </c>
      <c r="M108">
        <f t="shared" si="4"/>
        <v>647448</v>
      </c>
      <c r="N108" s="3">
        <f t="shared" si="5"/>
        <v>6.3045883654683707E-2</v>
      </c>
      <c r="O108">
        <v>2</v>
      </c>
      <c r="P108">
        <v>92</v>
      </c>
      <c r="Q108">
        <v>1</v>
      </c>
      <c r="R108">
        <v>59</v>
      </c>
      <c r="S108">
        <v>16</v>
      </c>
      <c r="T108">
        <v>67</v>
      </c>
      <c r="V108" t="s">
        <v>26</v>
      </c>
      <c r="W108" t="s">
        <v>26</v>
      </c>
      <c r="X108" t="s">
        <v>27</v>
      </c>
    </row>
    <row r="109" spans="1:24" x14ac:dyDescent="0.35">
      <c r="A109" t="s">
        <v>225</v>
      </c>
      <c r="B109" t="s">
        <v>91</v>
      </c>
      <c r="C109" t="s">
        <v>35</v>
      </c>
      <c r="D109" t="s">
        <v>42</v>
      </c>
      <c r="E109" t="s">
        <v>30</v>
      </c>
      <c r="F109" t="s">
        <v>31</v>
      </c>
      <c r="G109" s="1">
        <v>43412</v>
      </c>
      <c r="H109" s="1">
        <v>29721</v>
      </c>
      <c r="I109">
        <v>49149</v>
      </c>
      <c r="J109">
        <v>9806</v>
      </c>
      <c r="K109">
        <v>7656</v>
      </c>
      <c r="L109">
        <f t="shared" si="3"/>
        <v>66611</v>
      </c>
      <c r="M109">
        <f t="shared" si="4"/>
        <v>799332</v>
      </c>
      <c r="N109" s="3">
        <f t="shared" si="5"/>
        <v>0.15577122627113471</v>
      </c>
      <c r="O109">
        <v>13</v>
      </c>
      <c r="P109">
        <v>94</v>
      </c>
      <c r="Q109">
        <v>5</v>
      </c>
      <c r="R109">
        <v>36</v>
      </c>
      <c r="S109">
        <v>9</v>
      </c>
      <c r="T109">
        <v>98</v>
      </c>
      <c r="V109" t="s">
        <v>26</v>
      </c>
      <c r="W109" t="s">
        <v>26</v>
      </c>
      <c r="X109" t="s">
        <v>45</v>
      </c>
    </row>
    <row r="110" spans="1:24" x14ac:dyDescent="0.35">
      <c r="A110" t="s">
        <v>226</v>
      </c>
      <c r="B110" t="s">
        <v>227</v>
      </c>
      <c r="C110" t="s">
        <v>35</v>
      </c>
      <c r="D110" t="s">
        <v>36</v>
      </c>
      <c r="E110" t="s">
        <v>43</v>
      </c>
      <c r="F110" t="s">
        <v>44</v>
      </c>
      <c r="G110" s="1">
        <v>42335</v>
      </c>
      <c r="H110" s="1">
        <v>33744</v>
      </c>
      <c r="I110">
        <v>66277</v>
      </c>
      <c r="J110">
        <v>6894</v>
      </c>
      <c r="K110">
        <v>4317</v>
      </c>
      <c r="L110">
        <f t="shared" si="3"/>
        <v>77488</v>
      </c>
      <c r="M110">
        <f t="shared" si="4"/>
        <v>929856</v>
      </c>
      <c r="N110" s="3">
        <f t="shared" si="5"/>
        <v>6.5135718273307483E-2</v>
      </c>
      <c r="O110">
        <v>3</v>
      </c>
      <c r="P110">
        <v>86</v>
      </c>
      <c r="Q110">
        <v>5</v>
      </c>
      <c r="R110">
        <v>43</v>
      </c>
      <c r="S110">
        <v>18</v>
      </c>
      <c r="T110">
        <v>94</v>
      </c>
      <c r="V110" t="s">
        <v>26</v>
      </c>
      <c r="W110" t="s">
        <v>26</v>
      </c>
      <c r="X110" t="s">
        <v>49</v>
      </c>
    </row>
    <row r="111" spans="1:24" x14ac:dyDescent="0.35">
      <c r="A111" t="s">
        <v>228</v>
      </c>
      <c r="B111" t="s">
        <v>49</v>
      </c>
      <c r="C111" t="s">
        <v>22</v>
      </c>
      <c r="D111" t="s">
        <v>23</v>
      </c>
      <c r="E111" t="s">
        <v>24</v>
      </c>
      <c r="F111" t="s">
        <v>25</v>
      </c>
      <c r="G111" s="1">
        <v>42017</v>
      </c>
      <c r="H111" s="1">
        <v>36642</v>
      </c>
      <c r="I111">
        <v>31104</v>
      </c>
      <c r="J111">
        <v>8042</v>
      </c>
      <c r="K111">
        <v>2529</v>
      </c>
      <c r="L111">
        <f t="shared" si="3"/>
        <v>41675</v>
      </c>
      <c r="M111">
        <f t="shared" si="4"/>
        <v>500100</v>
      </c>
      <c r="N111" s="3">
        <f t="shared" si="5"/>
        <v>8.1307870370370364E-2</v>
      </c>
      <c r="O111">
        <v>13</v>
      </c>
      <c r="P111">
        <v>96</v>
      </c>
      <c r="Q111">
        <v>2</v>
      </c>
      <c r="R111">
        <v>41</v>
      </c>
      <c r="S111">
        <v>5</v>
      </c>
      <c r="T111">
        <v>67</v>
      </c>
      <c r="V111" t="s">
        <v>26</v>
      </c>
      <c r="W111" t="s">
        <v>26</v>
      </c>
      <c r="X111" t="s">
        <v>49</v>
      </c>
    </row>
    <row r="112" spans="1:24" x14ac:dyDescent="0.35">
      <c r="A112" t="s">
        <v>229</v>
      </c>
      <c r="B112" t="s">
        <v>230</v>
      </c>
      <c r="C112" t="s">
        <v>22</v>
      </c>
      <c r="D112" t="s">
        <v>42</v>
      </c>
      <c r="E112" t="s">
        <v>30</v>
      </c>
      <c r="F112" t="s">
        <v>48</v>
      </c>
      <c r="G112" s="1">
        <v>45642</v>
      </c>
      <c r="H112" s="1">
        <v>34640</v>
      </c>
      <c r="I112">
        <v>92587</v>
      </c>
      <c r="J112">
        <v>6144</v>
      </c>
      <c r="K112">
        <v>10987</v>
      </c>
      <c r="L112">
        <f t="shared" si="3"/>
        <v>109718</v>
      </c>
      <c r="M112">
        <f t="shared" si="4"/>
        <v>1316616</v>
      </c>
      <c r="N112" s="3">
        <f t="shared" si="5"/>
        <v>0.11866676747275536</v>
      </c>
      <c r="O112">
        <v>20</v>
      </c>
      <c r="P112">
        <v>92</v>
      </c>
      <c r="Q112">
        <v>4</v>
      </c>
      <c r="R112">
        <v>39</v>
      </c>
      <c r="S112">
        <v>6</v>
      </c>
      <c r="T112">
        <v>84</v>
      </c>
      <c r="V112" t="s">
        <v>38</v>
      </c>
      <c r="W112" t="s">
        <v>26</v>
      </c>
      <c r="X112" t="s">
        <v>27</v>
      </c>
    </row>
    <row r="113" spans="1:24" x14ac:dyDescent="0.35">
      <c r="A113" t="s">
        <v>231</v>
      </c>
      <c r="B113" t="s">
        <v>232</v>
      </c>
      <c r="C113" t="s">
        <v>35</v>
      </c>
      <c r="D113" t="s">
        <v>36</v>
      </c>
      <c r="E113" t="s">
        <v>19</v>
      </c>
      <c r="F113" t="s">
        <v>52</v>
      </c>
      <c r="G113" s="1">
        <v>42204</v>
      </c>
      <c r="H113" s="1">
        <v>30803</v>
      </c>
      <c r="I113">
        <v>41069</v>
      </c>
      <c r="J113">
        <v>6657</v>
      </c>
      <c r="K113">
        <v>11164</v>
      </c>
      <c r="L113">
        <f t="shared" si="3"/>
        <v>58890</v>
      </c>
      <c r="M113">
        <f t="shared" si="4"/>
        <v>706680</v>
      </c>
      <c r="N113" s="3">
        <f t="shared" si="5"/>
        <v>0.2718352041685943</v>
      </c>
      <c r="O113">
        <v>15</v>
      </c>
      <c r="P113">
        <v>81</v>
      </c>
      <c r="Q113">
        <v>2</v>
      </c>
      <c r="R113">
        <v>16</v>
      </c>
      <c r="S113">
        <v>12</v>
      </c>
      <c r="T113">
        <v>91</v>
      </c>
      <c r="V113" t="s">
        <v>26</v>
      </c>
      <c r="W113" t="s">
        <v>26</v>
      </c>
      <c r="X113" t="s">
        <v>32</v>
      </c>
    </row>
    <row r="114" spans="1:24" x14ac:dyDescent="0.35">
      <c r="A114" t="s">
        <v>233</v>
      </c>
      <c r="B114" t="s">
        <v>234</v>
      </c>
      <c r="C114" t="s">
        <v>22</v>
      </c>
      <c r="D114" t="s">
        <v>36</v>
      </c>
      <c r="E114" t="s">
        <v>30</v>
      </c>
      <c r="F114" t="s">
        <v>25</v>
      </c>
      <c r="G114" s="1">
        <v>45791</v>
      </c>
      <c r="H114" s="1">
        <v>38190</v>
      </c>
      <c r="I114">
        <v>50440</v>
      </c>
      <c r="J114">
        <v>5835</v>
      </c>
      <c r="K114">
        <v>6615</v>
      </c>
      <c r="L114">
        <f t="shared" si="3"/>
        <v>62890</v>
      </c>
      <c r="M114">
        <f t="shared" si="4"/>
        <v>754680</v>
      </c>
      <c r="N114" s="3">
        <f t="shared" si="5"/>
        <v>0.13114591593973038</v>
      </c>
      <c r="O114">
        <v>18</v>
      </c>
      <c r="P114">
        <v>88</v>
      </c>
      <c r="Q114">
        <v>3</v>
      </c>
      <c r="R114">
        <v>45</v>
      </c>
      <c r="S114">
        <v>18</v>
      </c>
      <c r="T114">
        <v>71</v>
      </c>
      <c r="V114" t="s">
        <v>26</v>
      </c>
      <c r="W114" t="s">
        <v>26</v>
      </c>
      <c r="X114" t="s">
        <v>45</v>
      </c>
    </row>
    <row r="115" spans="1:24" x14ac:dyDescent="0.35">
      <c r="A115" t="s">
        <v>235</v>
      </c>
      <c r="B115" t="s">
        <v>153</v>
      </c>
      <c r="C115" t="s">
        <v>22</v>
      </c>
      <c r="D115" t="s">
        <v>56</v>
      </c>
      <c r="E115" t="s">
        <v>37</v>
      </c>
      <c r="F115" t="s">
        <v>48</v>
      </c>
      <c r="G115" s="1">
        <v>42208</v>
      </c>
      <c r="H115" s="1">
        <v>32512</v>
      </c>
      <c r="I115">
        <v>58181</v>
      </c>
      <c r="J115">
        <v>9898</v>
      </c>
      <c r="K115">
        <v>3612</v>
      </c>
      <c r="L115">
        <f t="shared" si="3"/>
        <v>71691</v>
      </c>
      <c r="M115">
        <f t="shared" si="4"/>
        <v>860292</v>
      </c>
      <c r="N115" s="3">
        <f t="shared" si="5"/>
        <v>6.2082123029855107E-2</v>
      </c>
      <c r="O115">
        <v>11</v>
      </c>
      <c r="P115">
        <v>90</v>
      </c>
      <c r="Q115">
        <v>4</v>
      </c>
      <c r="R115">
        <v>16</v>
      </c>
      <c r="S115">
        <v>24</v>
      </c>
      <c r="T115">
        <v>58</v>
      </c>
      <c r="V115" t="s">
        <v>26</v>
      </c>
      <c r="W115" t="s">
        <v>26</v>
      </c>
      <c r="X115" t="s">
        <v>45</v>
      </c>
    </row>
    <row r="116" spans="1:24" x14ac:dyDescent="0.35">
      <c r="A116" t="s">
        <v>236</v>
      </c>
      <c r="B116" t="s">
        <v>133</v>
      </c>
      <c r="C116" t="s">
        <v>22</v>
      </c>
      <c r="D116" t="s">
        <v>23</v>
      </c>
      <c r="E116" t="s">
        <v>37</v>
      </c>
      <c r="F116" t="s">
        <v>31</v>
      </c>
      <c r="G116" s="1">
        <v>43048</v>
      </c>
      <c r="H116" s="1">
        <v>38121</v>
      </c>
      <c r="I116">
        <v>92650</v>
      </c>
      <c r="J116">
        <v>8852</v>
      </c>
      <c r="K116">
        <v>5168</v>
      </c>
      <c r="L116">
        <f t="shared" si="3"/>
        <v>106670</v>
      </c>
      <c r="M116">
        <f t="shared" si="4"/>
        <v>1280040</v>
      </c>
      <c r="N116" s="3">
        <f t="shared" si="5"/>
        <v>5.5779816513761467E-2</v>
      </c>
      <c r="O116">
        <v>12</v>
      </c>
      <c r="P116">
        <v>96</v>
      </c>
      <c r="Q116">
        <v>2</v>
      </c>
      <c r="R116">
        <v>6</v>
      </c>
      <c r="S116">
        <v>23</v>
      </c>
      <c r="T116">
        <v>99</v>
      </c>
      <c r="V116" t="s">
        <v>26</v>
      </c>
      <c r="W116" t="s">
        <v>26</v>
      </c>
      <c r="X116" t="s">
        <v>49</v>
      </c>
    </row>
    <row r="117" spans="1:24" x14ac:dyDescent="0.35">
      <c r="A117" t="s">
        <v>237</v>
      </c>
      <c r="B117" t="s">
        <v>238</v>
      </c>
      <c r="C117" t="s">
        <v>35</v>
      </c>
      <c r="D117" t="s">
        <v>56</v>
      </c>
      <c r="E117" t="s">
        <v>92</v>
      </c>
      <c r="F117" t="s">
        <v>52</v>
      </c>
      <c r="G117" s="1">
        <v>42129</v>
      </c>
      <c r="H117" s="1">
        <v>30325</v>
      </c>
      <c r="I117">
        <v>41410</v>
      </c>
      <c r="J117">
        <v>6372</v>
      </c>
      <c r="K117">
        <v>4660</v>
      </c>
      <c r="L117">
        <f t="shared" si="3"/>
        <v>52442</v>
      </c>
      <c r="M117">
        <f t="shared" si="4"/>
        <v>629304</v>
      </c>
      <c r="N117" s="3">
        <f t="shared" si="5"/>
        <v>0.11253320453996619</v>
      </c>
      <c r="O117">
        <v>15</v>
      </c>
      <c r="P117">
        <v>85</v>
      </c>
      <c r="Q117">
        <v>1</v>
      </c>
      <c r="R117">
        <v>29</v>
      </c>
      <c r="S117">
        <v>17</v>
      </c>
      <c r="T117">
        <v>82</v>
      </c>
      <c r="V117" t="s">
        <v>38</v>
      </c>
      <c r="W117" t="s">
        <v>26</v>
      </c>
      <c r="X117" t="s">
        <v>32</v>
      </c>
    </row>
    <row r="118" spans="1:24" x14ac:dyDescent="0.35">
      <c r="A118" t="s">
        <v>239</v>
      </c>
      <c r="B118" t="s">
        <v>167</v>
      </c>
      <c r="C118" t="s">
        <v>22</v>
      </c>
      <c r="D118" t="s">
        <v>64</v>
      </c>
      <c r="E118" t="s">
        <v>43</v>
      </c>
      <c r="F118" t="s">
        <v>25</v>
      </c>
      <c r="G118" s="1">
        <v>43618</v>
      </c>
      <c r="H118" s="1">
        <v>32858</v>
      </c>
      <c r="I118">
        <v>50912</v>
      </c>
      <c r="J118">
        <v>11133</v>
      </c>
      <c r="K118">
        <v>4039</v>
      </c>
      <c r="L118">
        <f t="shared" si="3"/>
        <v>66084</v>
      </c>
      <c r="M118">
        <f t="shared" si="4"/>
        <v>793008</v>
      </c>
      <c r="N118" s="3">
        <f t="shared" si="5"/>
        <v>7.9332966687617856E-2</v>
      </c>
      <c r="O118">
        <v>2</v>
      </c>
      <c r="P118">
        <v>82</v>
      </c>
      <c r="Q118">
        <v>4</v>
      </c>
      <c r="R118">
        <v>47</v>
      </c>
      <c r="S118">
        <v>25</v>
      </c>
      <c r="T118">
        <v>65</v>
      </c>
      <c r="V118" t="s">
        <v>38</v>
      </c>
      <c r="W118" t="s">
        <v>26</v>
      </c>
      <c r="X118" t="s">
        <v>49</v>
      </c>
    </row>
    <row r="119" spans="1:24" x14ac:dyDescent="0.35">
      <c r="A119" t="s">
        <v>240</v>
      </c>
      <c r="B119" t="s">
        <v>241</v>
      </c>
      <c r="C119" t="s">
        <v>35</v>
      </c>
      <c r="D119" t="s">
        <v>36</v>
      </c>
      <c r="E119" t="s">
        <v>24</v>
      </c>
      <c r="F119" t="s">
        <v>31</v>
      </c>
      <c r="G119" s="1">
        <v>42158</v>
      </c>
      <c r="H119" s="1">
        <v>30194</v>
      </c>
      <c r="I119">
        <v>27319</v>
      </c>
      <c r="J119">
        <v>13480</v>
      </c>
      <c r="K119">
        <v>9319</v>
      </c>
      <c r="L119">
        <f t="shared" si="3"/>
        <v>50118</v>
      </c>
      <c r="M119">
        <f t="shared" si="4"/>
        <v>601416</v>
      </c>
      <c r="N119" s="3">
        <f t="shared" si="5"/>
        <v>0.34111790329075004</v>
      </c>
      <c r="O119">
        <v>9</v>
      </c>
      <c r="P119">
        <v>98</v>
      </c>
      <c r="Q119">
        <v>5</v>
      </c>
      <c r="R119">
        <v>61</v>
      </c>
      <c r="S119">
        <v>8</v>
      </c>
      <c r="T119">
        <v>52</v>
      </c>
      <c r="V119" t="s">
        <v>26</v>
      </c>
      <c r="W119" t="s">
        <v>38</v>
      </c>
      <c r="X119" t="s">
        <v>49</v>
      </c>
    </row>
    <row r="120" spans="1:24" x14ac:dyDescent="0.35">
      <c r="A120" t="s">
        <v>242</v>
      </c>
      <c r="B120" t="s">
        <v>167</v>
      </c>
      <c r="C120" t="s">
        <v>35</v>
      </c>
      <c r="D120" t="s">
        <v>59</v>
      </c>
      <c r="E120" t="s">
        <v>37</v>
      </c>
      <c r="F120" t="s">
        <v>52</v>
      </c>
      <c r="G120" s="1">
        <v>42079</v>
      </c>
      <c r="H120" s="1">
        <v>34399</v>
      </c>
      <c r="I120">
        <v>72647</v>
      </c>
      <c r="J120">
        <v>6940</v>
      </c>
      <c r="K120">
        <v>8400</v>
      </c>
      <c r="L120">
        <f t="shared" si="3"/>
        <v>87987</v>
      </c>
      <c r="M120">
        <f t="shared" si="4"/>
        <v>1055844</v>
      </c>
      <c r="N120" s="3">
        <f t="shared" si="5"/>
        <v>0.11562762398997894</v>
      </c>
      <c r="O120">
        <v>9</v>
      </c>
      <c r="P120">
        <v>97</v>
      </c>
      <c r="Q120">
        <v>3</v>
      </c>
      <c r="R120">
        <v>16</v>
      </c>
      <c r="S120">
        <v>0</v>
      </c>
      <c r="T120">
        <v>76</v>
      </c>
      <c r="V120" t="s">
        <v>38</v>
      </c>
      <c r="W120" t="s">
        <v>26</v>
      </c>
      <c r="X120" t="s">
        <v>87</v>
      </c>
    </row>
    <row r="121" spans="1:24" x14ac:dyDescent="0.35">
      <c r="A121" t="s">
        <v>243</v>
      </c>
      <c r="B121" t="s">
        <v>244</v>
      </c>
      <c r="C121" t="s">
        <v>35</v>
      </c>
      <c r="D121" t="s">
        <v>59</v>
      </c>
      <c r="E121" t="s">
        <v>43</v>
      </c>
      <c r="F121" t="s">
        <v>44</v>
      </c>
      <c r="G121" s="1">
        <v>44602</v>
      </c>
      <c r="H121" s="1">
        <v>37623</v>
      </c>
      <c r="I121">
        <v>46602</v>
      </c>
      <c r="J121">
        <v>9893</v>
      </c>
      <c r="K121">
        <v>11351</v>
      </c>
      <c r="L121">
        <f t="shared" si="3"/>
        <v>67846</v>
      </c>
      <c r="M121">
        <f t="shared" si="4"/>
        <v>814152</v>
      </c>
      <c r="N121" s="3">
        <f t="shared" si="5"/>
        <v>0.24357323720012017</v>
      </c>
      <c r="O121">
        <v>13</v>
      </c>
      <c r="P121">
        <v>98</v>
      </c>
      <c r="Q121">
        <v>3</v>
      </c>
      <c r="R121">
        <v>78</v>
      </c>
      <c r="S121">
        <v>15</v>
      </c>
      <c r="T121">
        <v>84</v>
      </c>
      <c r="V121" t="s">
        <v>26</v>
      </c>
      <c r="W121" t="s">
        <v>26</v>
      </c>
      <c r="X121" t="s">
        <v>27</v>
      </c>
    </row>
    <row r="122" spans="1:24" x14ac:dyDescent="0.35">
      <c r="A122" t="s">
        <v>245</v>
      </c>
      <c r="B122" t="s">
        <v>217</v>
      </c>
      <c r="C122" t="s">
        <v>35</v>
      </c>
      <c r="D122" t="s">
        <v>42</v>
      </c>
      <c r="E122" t="s">
        <v>24</v>
      </c>
      <c r="F122" t="s">
        <v>31</v>
      </c>
      <c r="G122" s="1">
        <v>43311</v>
      </c>
      <c r="H122" s="1">
        <v>37777</v>
      </c>
      <c r="I122">
        <v>61014</v>
      </c>
      <c r="J122">
        <v>17226</v>
      </c>
      <c r="K122">
        <v>13447</v>
      </c>
      <c r="L122">
        <f t="shared" si="3"/>
        <v>91687</v>
      </c>
      <c r="M122">
        <f t="shared" si="4"/>
        <v>1100244</v>
      </c>
      <c r="N122" s="3">
        <f t="shared" si="5"/>
        <v>0.22039204117087882</v>
      </c>
      <c r="O122">
        <v>13</v>
      </c>
      <c r="P122">
        <v>86</v>
      </c>
      <c r="Q122">
        <v>5</v>
      </c>
      <c r="R122">
        <v>20</v>
      </c>
      <c r="S122">
        <v>19</v>
      </c>
      <c r="T122">
        <v>89</v>
      </c>
      <c r="V122" t="s">
        <v>38</v>
      </c>
      <c r="W122" t="s">
        <v>26</v>
      </c>
      <c r="X122" t="s">
        <v>49</v>
      </c>
    </row>
    <row r="123" spans="1:24" x14ac:dyDescent="0.35">
      <c r="A123" t="s">
        <v>246</v>
      </c>
      <c r="B123" t="s">
        <v>159</v>
      </c>
      <c r="C123" t="s">
        <v>35</v>
      </c>
      <c r="D123" t="s">
        <v>56</v>
      </c>
      <c r="E123" t="s">
        <v>19</v>
      </c>
      <c r="F123" t="s">
        <v>44</v>
      </c>
      <c r="G123" s="1">
        <v>44909</v>
      </c>
      <c r="H123" s="1">
        <v>33703</v>
      </c>
      <c r="I123">
        <v>35714</v>
      </c>
      <c r="J123">
        <v>7891</v>
      </c>
      <c r="K123">
        <v>6279</v>
      </c>
      <c r="L123">
        <f t="shared" si="3"/>
        <v>49884</v>
      </c>
      <c r="M123">
        <f t="shared" si="4"/>
        <v>598608</v>
      </c>
      <c r="N123" s="3">
        <f t="shared" si="5"/>
        <v>0.17581340650725205</v>
      </c>
      <c r="O123">
        <v>19</v>
      </c>
      <c r="P123">
        <v>83</v>
      </c>
      <c r="Q123">
        <v>3</v>
      </c>
      <c r="R123">
        <v>78</v>
      </c>
      <c r="S123">
        <v>5</v>
      </c>
      <c r="T123">
        <v>98</v>
      </c>
      <c r="V123" t="s">
        <v>26</v>
      </c>
      <c r="W123" t="s">
        <v>26</v>
      </c>
      <c r="X123" t="s">
        <v>27</v>
      </c>
    </row>
    <row r="124" spans="1:24" x14ac:dyDescent="0.35">
      <c r="A124" t="s">
        <v>247</v>
      </c>
      <c r="B124" t="s">
        <v>179</v>
      </c>
      <c r="C124" t="s">
        <v>35</v>
      </c>
      <c r="D124" t="s">
        <v>36</v>
      </c>
      <c r="E124" t="s">
        <v>30</v>
      </c>
      <c r="F124" t="s">
        <v>31</v>
      </c>
      <c r="G124" s="1">
        <v>45116</v>
      </c>
      <c r="H124" s="1">
        <v>35024</v>
      </c>
      <c r="I124">
        <v>43977</v>
      </c>
      <c r="J124">
        <v>17227</v>
      </c>
      <c r="K124">
        <v>7701</v>
      </c>
      <c r="L124">
        <f t="shared" si="3"/>
        <v>68905</v>
      </c>
      <c r="M124">
        <f t="shared" si="4"/>
        <v>826860</v>
      </c>
      <c r="N124" s="3">
        <f t="shared" si="5"/>
        <v>0.17511426427450713</v>
      </c>
      <c r="O124">
        <v>2</v>
      </c>
      <c r="P124">
        <v>81</v>
      </c>
      <c r="Q124">
        <v>5</v>
      </c>
      <c r="R124">
        <v>53</v>
      </c>
      <c r="S124">
        <v>21</v>
      </c>
      <c r="T124">
        <v>55</v>
      </c>
      <c r="V124" t="s">
        <v>26</v>
      </c>
      <c r="W124" t="s">
        <v>26</v>
      </c>
      <c r="X124" t="s">
        <v>45</v>
      </c>
    </row>
    <row r="125" spans="1:24" x14ac:dyDescent="0.35">
      <c r="A125" t="s">
        <v>248</v>
      </c>
      <c r="B125" t="s">
        <v>232</v>
      </c>
      <c r="C125" t="s">
        <v>22</v>
      </c>
      <c r="D125" t="s">
        <v>42</v>
      </c>
      <c r="E125" t="s">
        <v>92</v>
      </c>
      <c r="F125" t="s">
        <v>48</v>
      </c>
      <c r="G125" s="1">
        <v>43950</v>
      </c>
      <c r="H125" s="1">
        <v>30582</v>
      </c>
      <c r="I125">
        <v>71867</v>
      </c>
      <c r="J125">
        <v>15788</v>
      </c>
      <c r="K125">
        <v>1286</v>
      </c>
      <c r="L125">
        <f t="shared" si="3"/>
        <v>88941</v>
      </c>
      <c r="M125">
        <f t="shared" si="4"/>
        <v>1067292</v>
      </c>
      <c r="N125" s="3">
        <f t="shared" si="5"/>
        <v>1.7894165611476755E-2</v>
      </c>
      <c r="O125">
        <v>1</v>
      </c>
      <c r="P125">
        <v>95</v>
      </c>
      <c r="Q125">
        <v>5</v>
      </c>
      <c r="R125">
        <v>41</v>
      </c>
      <c r="S125">
        <v>15</v>
      </c>
      <c r="T125">
        <v>90</v>
      </c>
      <c r="V125" t="s">
        <v>38</v>
      </c>
      <c r="W125" t="s">
        <v>38</v>
      </c>
      <c r="X125" t="s">
        <v>45</v>
      </c>
    </row>
    <row r="126" spans="1:24" x14ac:dyDescent="0.35">
      <c r="A126" t="s">
        <v>249</v>
      </c>
      <c r="B126" t="s">
        <v>250</v>
      </c>
      <c r="C126" t="s">
        <v>22</v>
      </c>
      <c r="D126" t="s">
        <v>59</v>
      </c>
      <c r="E126" t="s">
        <v>24</v>
      </c>
      <c r="F126" t="s">
        <v>65</v>
      </c>
      <c r="G126" s="1">
        <v>43349</v>
      </c>
      <c r="H126" s="1">
        <v>30370</v>
      </c>
      <c r="I126">
        <v>63213</v>
      </c>
      <c r="J126">
        <v>12753</v>
      </c>
      <c r="K126">
        <v>13140</v>
      </c>
      <c r="L126">
        <f t="shared" si="3"/>
        <v>89106</v>
      </c>
      <c r="M126">
        <f t="shared" si="4"/>
        <v>1069272</v>
      </c>
      <c r="N126" s="3">
        <f t="shared" si="5"/>
        <v>0.20786863461629729</v>
      </c>
      <c r="O126">
        <v>14</v>
      </c>
      <c r="P126">
        <v>93</v>
      </c>
      <c r="Q126">
        <v>2</v>
      </c>
      <c r="R126">
        <v>33</v>
      </c>
      <c r="S126">
        <v>21</v>
      </c>
      <c r="T126">
        <v>61</v>
      </c>
      <c r="V126" t="s">
        <v>38</v>
      </c>
      <c r="W126" t="s">
        <v>26</v>
      </c>
      <c r="X126" t="s">
        <v>27</v>
      </c>
    </row>
    <row r="127" spans="1:24" x14ac:dyDescent="0.35">
      <c r="A127" t="s">
        <v>251</v>
      </c>
      <c r="B127" t="s">
        <v>252</v>
      </c>
      <c r="C127" t="s">
        <v>35</v>
      </c>
      <c r="D127" t="s">
        <v>42</v>
      </c>
      <c r="E127" t="s">
        <v>43</v>
      </c>
      <c r="F127" t="s">
        <v>48</v>
      </c>
      <c r="G127" s="1">
        <v>42930</v>
      </c>
      <c r="H127" s="1">
        <v>34429</v>
      </c>
      <c r="I127">
        <v>36224</v>
      </c>
      <c r="J127">
        <v>5187</v>
      </c>
      <c r="K127">
        <v>8913</v>
      </c>
      <c r="L127">
        <f t="shared" si="3"/>
        <v>50324</v>
      </c>
      <c r="M127">
        <f t="shared" si="4"/>
        <v>603888</v>
      </c>
      <c r="N127" s="3">
        <f t="shared" si="5"/>
        <v>0.24605234098939929</v>
      </c>
      <c r="O127">
        <v>4</v>
      </c>
      <c r="P127">
        <v>89</v>
      </c>
      <c r="Q127">
        <v>2</v>
      </c>
      <c r="R127">
        <v>7</v>
      </c>
      <c r="S127">
        <v>18</v>
      </c>
      <c r="T127">
        <v>75</v>
      </c>
      <c r="V127" t="s">
        <v>38</v>
      </c>
      <c r="W127" t="s">
        <v>26</v>
      </c>
      <c r="X127" t="s">
        <v>39</v>
      </c>
    </row>
    <row r="128" spans="1:24" x14ac:dyDescent="0.35">
      <c r="A128" t="s">
        <v>253</v>
      </c>
      <c r="B128" t="s">
        <v>230</v>
      </c>
      <c r="C128" t="s">
        <v>22</v>
      </c>
      <c r="D128" t="s">
        <v>23</v>
      </c>
      <c r="E128" t="s">
        <v>37</v>
      </c>
      <c r="F128" t="s">
        <v>25</v>
      </c>
      <c r="G128" s="1">
        <v>42302</v>
      </c>
      <c r="H128" s="1">
        <v>32339</v>
      </c>
      <c r="I128">
        <v>99459</v>
      </c>
      <c r="J128">
        <v>7797</v>
      </c>
      <c r="K128">
        <v>6689</v>
      </c>
      <c r="L128">
        <f t="shared" si="3"/>
        <v>113945</v>
      </c>
      <c r="M128">
        <f t="shared" si="4"/>
        <v>1367340</v>
      </c>
      <c r="N128" s="3">
        <f t="shared" si="5"/>
        <v>6.725384329221086E-2</v>
      </c>
      <c r="O128">
        <v>13</v>
      </c>
      <c r="P128">
        <v>82</v>
      </c>
      <c r="Q128">
        <v>5</v>
      </c>
      <c r="R128">
        <v>25</v>
      </c>
      <c r="S128">
        <v>12</v>
      </c>
      <c r="T128">
        <v>98</v>
      </c>
      <c r="V128" t="s">
        <v>26</v>
      </c>
      <c r="W128" t="s">
        <v>26</v>
      </c>
      <c r="X128" t="s">
        <v>39</v>
      </c>
    </row>
    <row r="129" spans="1:24" x14ac:dyDescent="0.35">
      <c r="A129" t="s">
        <v>254</v>
      </c>
      <c r="B129" t="s">
        <v>255</v>
      </c>
      <c r="C129" t="s">
        <v>35</v>
      </c>
      <c r="D129" t="s">
        <v>64</v>
      </c>
      <c r="E129" t="s">
        <v>37</v>
      </c>
      <c r="F129" t="s">
        <v>52</v>
      </c>
      <c r="G129" s="1">
        <v>43493</v>
      </c>
      <c r="H129" s="1">
        <v>36364</v>
      </c>
      <c r="I129">
        <v>87673</v>
      </c>
      <c r="J129">
        <v>4216</v>
      </c>
      <c r="K129">
        <v>13081</v>
      </c>
      <c r="L129">
        <f t="shared" si="3"/>
        <v>104970</v>
      </c>
      <c r="M129">
        <f t="shared" si="4"/>
        <v>1259640</v>
      </c>
      <c r="N129" s="3">
        <f t="shared" si="5"/>
        <v>0.14920214889418634</v>
      </c>
      <c r="O129">
        <v>13</v>
      </c>
      <c r="P129">
        <v>95</v>
      </c>
      <c r="Q129">
        <v>3</v>
      </c>
      <c r="R129">
        <v>28</v>
      </c>
      <c r="S129">
        <v>4</v>
      </c>
      <c r="T129">
        <v>95</v>
      </c>
      <c r="V129" t="s">
        <v>26</v>
      </c>
      <c r="W129" t="s">
        <v>26</v>
      </c>
      <c r="X129" t="s">
        <v>49</v>
      </c>
    </row>
    <row r="130" spans="1:24" x14ac:dyDescent="0.35">
      <c r="A130" t="s">
        <v>256</v>
      </c>
      <c r="B130" t="s">
        <v>41</v>
      </c>
      <c r="C130" t="s">
        <v>35</v>
      </c>
      <c r="D130" t="s">
        <v>36</v>
      </c>
      <c r="E130" t="s">
        <v>30</v>
      </c>
      <c r="F130" t="s">
        <v>44</v>
      </c>
      <c r="G130" s="1">
        <v>44180</v>
      </c>
      <c r="H130" s="1">
        <v>37641</v>
      </c>
      <c r="I130">
        <v>62708</v>
      </c>
      <c r="J130">
        <v>10995</v>
      </c>
      <c r="K130">
        <v>14198</v>
      </c>
      <c r="L130">
        <f t="shared" si="3"/>
        <v>87901</v>
      </c>
      <c r="M130">
        <f t="shared" si="4"/>
        <v>1054812</v>
      </c>
      <c r="N130" s="3">
        <f t="shared" si="5"/>
        <v>0.22641449256873125</v>
      </c>
      <c r="O130">
        <v>19</v>
      </c>
      <c r="P130">
        <v>83</v>
      </c>
      <c r="Q130">
        <v>3</v>
      </c>
      <c r="R130">
        <v>48</v>
      </c>
      <c r="S130">
        <v>2</v>
      </c>
      <c r="T130">
        <v>87</v>
      </c>
      <c r="V130" t="s">
        <v>26</v>
      </c>
      <c r="W130" t="s">
        <v>26</v>
      </c>
      <c r="X130" t="s">
        <v>32</v>
      </c>
    </row>
    <row r="131" spans="1:24" x14ac:dyDescent="0.35">
      <c r="A131" t="s">
        <v>257</v>
      </c>
      <c r="B131" t="s">
        <v>215</v>
      </c>
      <c r="C131" t="s">
        <v>22</v>
      </c>
      <c r="D131" t="s">
        <v>36</v>
      </c>
      <c r="E131" t="s">
        <v>92</v>
      </c>
      <c r="F131" t="s">
        <v>65</v>
      </c>
      <c r="G131" s="1">
        <v>44185</v>
      </c>
      <c r="H131" s="1">
        <v>30863</v>
      </c>
      <c r="I131">
        <v>44178</v>
      </c>
      <c r="J131">
        <v>12966</v>
      </c>
      <c r="K131">
        <v>9257</v>
      </c>
      <c r="L131">
        <f t="shared" ref="L131:L194" si="6">SUM(I131:K131)</f>
        <v>66401</v>
      </c>
      <c r="M131">
        <f t="shared" ref="M131:M194" si="7">L131*12</f>
        <v>796812</v>
      </c>
      <c r="N131" s="3">
        <f t="shared" ref="N131:N194" si="8">K131/I131</f>
        <v>0.20953868441305626</v>
      </c>
      <c r="O131">
        <v>2</v>
      </c>
      <c r="P131">
        <v>86</v>
      </c>
      <c r="Q131">
        <v>4</v>
      </c>
      <c r="R131">
        <v>80</v>
      </c>
      <c r="S131">
        <v>2</v>
      </c>
      <c r="T131">
        <v>79</v>
      </c>
      <c r="V131" t="s">
        <v>26</v>
      </c>
      <c r="W131" t="s">
        <v>26</v>
      </c>
      <c r="X131" t="s">
        <v>32</v>
      </c>
    </row>
    <row r="132" spans="1:24" x14ac:dyDescent="0.35">
      <c r="A132" t="s">
        <v>258</v>
      </c>
      <c r="B132" t="s">
        <v>131</v>
      </c>
      <c r="C132" t="s">
        <v>35</v>
      </c>
      <c r="D132" t="s">
        <v>64</v>
      </c>
      <c r="E132" t="s">
        <v>30</v>
      </c>
      <c r="F132" t="s">
        <v>25</v>
      </c>
      <c r="G132" s="1">
        <v>42960</v>
      </c>
      <c r="H132" s="1">
        <v>29790</v>
      </c>
      <c r="I132">
        <v>69304</v>
      </c>
      <c r="J132">
        <v>15165</v>
      </c>
      <c r="K132">
        <v>3795</v>
      </c>
      <c r="L132">
        <f t="shared" si="6"/>
        <v>88264</v>
      </c>
      <c r="M132">
        <f t="shared" si="7"/>
        <v>1059168</v>
      </c>
      <c r="N132" s="3">
        <f t="shared" si="8"/>
        <v>5.4758744084035554E-2</v>
      </c>
      <c r="O132">
        <v>1</v>
      </c>
      <c r="P132">
        <v>88</v>
      </c>
      <c r="Q132">
        <v>1</v>
      </c>
      <c r="R132">
        <v>24</v>
      </c>
      <c r="S132">
        <v>10</v>
      </c>
      <c r="T132">
        <v>54</v>
      </c>
      <c r="V132" t="s">
        <v>26</v>
      </c>
      <c r="W132" t="s">
        <v>26</v>
      </c>
      <c r="X132" t="s">
        <v>39</v>
      </c>
    </row>
    <row r="133" spans="1:24" x14ac:dyDescent="0.35">
      <c r="A133" t="s">
        <v>259</v>
      </c>
      <c r="B133" t="s">
        <v>107</v>
      </c>
      <c r="C133" t="s">
        <v>22</v>
      </c>
      <c r="D133" t="s">
        <v>59</v>
      </c>
      <c r="E133" t="s">
        <v>19</v>
      </c>
      <c r="F133" t="s">
        <v>48</v>
      </c>
      <c r="G133" s="1">
        <v>45115</v>
      </c>
      <c r="H133" s="1">
        <v>35703</v>
      </c>
      <c r="I133">
        <v>85718</v>
      </c>
      <c r="J133">
        <v>13037</v>
      </c>
      <c r="K133">
        <v>8140</v>
      </c>
      <c r="L133">
        <f t="shared" si="6"/>
        <v>106895</v>
      </c>
      <c r="M133">
        <f t="shared" si="7"/>
        <v>1282740</v>
      </c>
      <c r="N133" s="3">
        <f t="shared" si="8"/>
        <v>9.4962551622763014E-2</v>
      </c>
      <c r="O133">
        <v>7</v>
      </c>
      <c r="P133">
        <v>82</v>
      </c>
      <c r="Q133">
        <v>3</v>
      </c>
      <c r="R133">
        <v>14</v>
      </c>
      <c r="S133">
        <v>7</v>
      </c>
      <c r="T133">
        <v>89</v>
      </c>
      <c r="V133" t="s">
        <v>26</v>
      </c>
      <c r="W133" t="s">
        <v>26</v>
      </c>
      <c r="X133" t="s">
        <v>27</v>
      </c>
    </row>
    <row r="134" spans="1:24" x14ac:dyDescent="0.35">
      <c r="A134" t="s">
        <v>260</v>
      </c>
      <c r="B134" t="s">
        <v>151</v>
      </c>
      <c r="C134" t="s">
        <v>22</v>
      </c>
      <c r="D134" t="s">
        <v>23</v>
      </c>
      <c r="E134" t="s">
        <v>37</v>
      </c>
      <c r="F134" t="s">
        <v>52</v>
      </c>
      <c r="G134" s="1">
        <v>45192</v>
      </c>
      <c r="H134" s="1">
        <v>36173</v>
      </c>
      <c r="I134">
        <v>44668</v>
      </c>
      <c r="J134">
        <v>10125</v>
      </c>
      <c r="K134">
        <v>5711</v>
      </c>
      <c r="L134">
        <f t="shared" si="6"/>
        <v>60504</v>
      </c>
      <c r="M134">
        <f t="shared" si="7"/>
        <v>726048</v>
      </c>
      <c r="N134" s="3">
        <f t="shared" si="8"/>
        <v>0.12785439240619684</v>
      </c>
      <c r="O134">
        <v>12</v>
      </c>
      <c r="P134">
        <v>92</v>
      </c>
      <c r="Q134">
        <v>5</v>
      </c>
      <c r="R134">
        <v>43</v>
      </c>
      <c r="S134">
        <v>18</v>
      </c>
      <c r="T134">
        <v>63</v>
      </c>
      <c r="V134" t="s">
        <v>26</v>
      </c>
      <c r="W134" t="s">
        <v>26</v>
      </c>
      <c r="X134" t="s">
        <v>87</v>
      </c>
    </row>
    <row r="135" spans="1:24" x14ac:dyDescent="0.35">
      <c r="A135" t="s">
        <v>261</v>
      </c>
      <c r="B135" t="s">
        <v>153</v>
      </c>
      <c r="C135" t="s">
        <v>35</v>
      </c>
      <c r="D135" t="s">
        <v>36</v>
      </c>
      <c r="E135" t="s">
        <v>24</v>
      </c>
      <c r="F135" t="s">
        <v>25</v>
      </c>
      <c r="G135" s="1">
        <v>43607</v>
      </c>
      <c r="H135" s="1">
        <v>35319</v>
      </c>
      <c r="I135">
        <v>60692</v>
      </c>
      <c r="J135">
        <v>7235</v>
      </c>
      <c r="K135">
        <v>7502</v>
      </c>
      <c r="L135">
        <f t="shared" si="6"/>
        <v>75429</v>
      </c>
      <c r="M135">
        <f t="shared" si="7"/>
        <v>905148</v>
      </c>
      <c r="N135" s="3">
        <f t="shared" si="8"/>
        <v>0.12360772424701773</v>
      </c>
      <c r="O135">
        <v>17</v>
      </c>
      <c r="P135">
        <v>85</v>
      </c>
      <c r="Q135">
        <v>2</v>
      </c>
      <c r="R135">
        <v>14</v>
      </c>
      <c r="S135">
        <v>12</v>
      </c>
      <c r="T135">
        <v>52</v>
      </c>
      <c r="V135" t="s">
        <v>26</v>
      </c>
      <c r="W135" t="s">
        <v>26</v>
      </c>
      <c r="X135" t="s">
        <v>45</v>
      </c>
    </row>
    <row r="136" spans="1:24" x14ac:dyDescent="0.35">
      <c r="A136" t="s">
        <v>262</v>
      </c>
      <c r="B136" t="s">
        <v>29</v>
      </c>
      <c r="C136" t="s">
        <v>35</v>
      </c>
      <c r="D136" t="s">
        <v>36</v>
      </c>
      <c r="E136" t="s">
        <v>19</v>
      </c>
      <c r="F136" t="s">
        <v>65</v>
      </c>
      <c r="G136" s="1">
        <v>43981</v>
      </c>
      <c r="H136" s="1">
        <v>34793</v>
      </c>
      <c r="I136">
        <v>59483</v>
      </c>
      <c r="J136">
        <v>11137</v>
      </c>
      <c r="K136">
        <v>5562</v>
      </c>
      <c r="L136">
        <f t="shared" si="6"/>
        <v>76182</v>
      </c>
      <c r="M136">
        <f t="shared" si="7"/>
        <v>914184</v>
      </c>
      <c r="N136" s="3">
        <f t="shared" si="8"/>
        <v>9.3505707513070968E-2</v>
      </c>
      <c r="O136">
        <v>8</v>
      </c>
      <c r="P136">
        <v>94</v>
      </c>
      <c r="Q136">
        <v>3</v>
      </c>
      <c r="R136">
        <v>60</v>
      </c>
      <c r="S136">
        <v>25</v>
      </c>
      <c r="T136">
        <v>87</v>
      </c>
      <c r="V136" t="s">
        <v>38</v>
      </c>
      <c r="W136" t="s">
        <v>26</v>
      </c>
      <c r="X136" t="s">
        <v>27</v>
      </c>
    </row>
    <row r="137" spans="1:24" x14ac:dyDescent="0.35">
      <c r="A137" t="s">
        <v>263</v>
      </c>
      <c r="B137" t="s">
        <v>102</v>
      </c>
      <c r="C137" t="s">
        <v>22</v>
      </c>
      <c r="D137" t="s">
        <v>42</v>
      </c>
      <c r="E137" t="s">
        <v>19</v>
      </c>
      <c r="F137" t="s">
        <v>65</v>
      </c>
      <c r="G137" s="1">
        <v>42206</v>
      </c>
      <c r="H137" s="1">
        <v>32176</v>
      </c>
      <c r="I137">
        <v>55165</v>
      </c>
      <c r="J137">
        <v>6767</v>
      </c>
      <c r="K137">
        <v>12780</v>
      </c>
      <c r="L137">
        <f t="shared" si="6"/>
        <v>74712</v>
      </c>
      <c r="M137">
        <f t="shared" si="7"/>
        <v>896544</v>
      </c>
      <c r="N137" s="3">
        <f t="shared" si="8"/>
        <v>0.23166863047221969</v>
      </c>
      <c r="O137">
        <v>14</v>
      </c>
      <c r="P137">
        <v>82</v>
      </c>
      <c r="Q137">
        <v>4</v>
      </c>
      <c r="R137">
        <v>1</v>
      </c>
      <c r="S137">
        <v>18</v>
      </c>
      <c r="T137">
        <v>84</v>
      </c>
      <c r="V137" t="s">
        <v>26</v>
      </c>
      <c r="W137" t="s">
        <v>26</v>
      </c>
      <c r="X137" t="s">
        <v>39</v>
      </c>
    </row>
    <row r="138" spans="1:24" x14ac:dyDescent="0.35">
      <c r="A138" t="s">
        <v>264</v>
      </c>
      <c r="B138" t="s">
        <v>117</v>
      </c>
      <c r="C138" t="s">
        <v>35</v>
      </c>
      <c r="D138" t="s">
        <v>42</v>
      </c>
      <c r="E138" t="s">
        <v>30</v>
      </c>
      <c r="F138" t="s">
        <v>52</v>
      </c>
      <c r="G138" s="1">
        <v>43350</v>
      </c>
      <c r="H138" s="1">
        <v>35019</v>
      </c>
      <c r="I138">
        <v>57147</v>
      </c>
      <c r="J138">
        <v>8299</v>
      </c>
      <c r="K138">
        <v>12528</v>
      </c>
      <c r="L138">
        <f t="shared" si="6"/>
        <v>77974</v>
      </c>
      <c r="M138">
        <f t="shared" si="7"/>
        <v>935688</v>
      </c>
      <c r="N138" s="3">
        <f t="shared" si="8"/>
        <v>0.21922410625229671</v>
      </c>
      <c r="O138">
        <v>1</v>
      </c>
      <c r="P138">
        <v>93</v>
      </c>
      <c r="Q138">
        <v>3</v>
      </c>
      <c r="R138">
        <v>80</v>
      </c>
      <c r="S138">
        <v>8</v>
      </c>
      <c r="T138">
        <v>73</v>
      </c>
      <c r="V138" t="s">
        <v>26</v>
      </c>
      <c r="W138" t="s">
        <v>26</v>
      </c>
      <c r="X138" t="s">
        <v>39</v>
      </c>
    </row>
    <row r="139" spans="1:24" x14ac:dyDescent="0.35">
      <c r="A139" t="s">
        <v>265</v>
      </c>
      <c r="B139" t="s">
        <v>266</v>
      </c>
      <c r="C139" t="s">
        <v>35</v>
      </c>
      <c r="D139" t="s">
        <v>42</v>
      </c>
      <c r="E139" t="s">
        <v>43</v>
      </c>
      <c r="F139" t="s">
        <v>65</v>
      </c>
      <c r="G139" s="1">
        <v>42588</v>
      </c>
      <c r="H139" s="1">
        <v>33387</v>
      </c>
      <c r="I139">
        <v>40381</v>
      </c>
      <c r="J139">
        <v>4807</v>
      </c>
      <c r="K139">
        <v>7974</v>
      </c>
      <c r="L139">
        <f t="shared" si="6"/>
        <v>53162</v>
      </c>
      <c r="M139">
        <f t="shared" si="7"/>
        <v>637944</v>
      </c>
      <c r="N139" s="3">
        <f t="shared" si="8"/>
        <v>0.19746910675812882</v>
      </c>
      <c r="O139">
        <v>16</v>
      </c>
      <c r="P139">
        <v>96</v>
      </c>
      <c r="Q139">
        <v>5</v>
      </c>
      <c r="R139">
        <v>40</v>
      </c>
      <c r="S139">
        <v>5</v>
      </c>
      <c r="T139">
        <v>91</v>
      </c>
      <c r="V139" t="s">
        <v>26</v>
      </c>
      <c r="W139" t="s">
        <v>38</v>
      </c>
      <c r="X139" t="s">
        <v>45</v>
      </c>
    </row>
    <row r="140" spans="1:24" x14ac:dyDescent="0.35">
      <c r="A140" t="s">
        <v>267</v>
      </c>
      <c r="B140" t="s">
        <v>58</v>
      </c>
      <c r="C140" t="s">
        <v>35</v>
      </c>
      <c r="D140" t="s">
        <v>42</v>
      </c>
      <c r="E140" t="s">
        <v>43</v>
      </c>
      <c r="F140" t="s">
        <v>25</v>
      </c>
      <c r="G140" s="1">
        <v>44375</v>
      </c>
      <c r="H140" s="1">
        <v>29427</v>
      </c>
      <c r="I140">
        <v>53527</v>
      </c>
      <c r="J140">
        <v>16777</v>
      </c>
      <c r="K140">
        <v>10527</v>
      </c>
      <c r="L140">
        <f t="shared" si="6"/>
        <v>80831</v>
      </c>
      <c r="M140">
        <f t="shared" si="7"/>
        <v>969972</v>
      </c>
      <c r="N140" s="3">
        <f t="shared" si="8"/>
        <v>0.19666710258374279</v>
      </c>
      <c r="O140">
        <v>14</v>
      </c>
      <c r="P140">
        <v>94</v>
      </c>
      <c r="Q140">
        <v>3</v>
      </c>
      <c r="R140">
        <v>3</v>
      </c>
      <c r="S140">
        <v>4</v>
      </c>
      <c r="T140">
        <v>78</v>
      </c>
      <c r="V140" t="s">
        <v>38</v>
      </c>
      <c r="W140" t="s">
        <v>26</v>
      </c>
      <c r="X140" t="s">
        <v>49</v>
      </c>
    </row>
    <row r="141" spans="1:24" x14ac:dyDescent="0.35">
      <c r="A141" t="s">
        <v>268</v>
      </c>
      <c r="B141" t="s">
        <v>135</v>
      </c>
      <c r="C141" t="s">
        <v>35</v>
      </c>
      <c r="D141" t="s">
        <v>23</v>
      </c>
      <c r="E141" t="s">
        <v>43</v>
      </c>
      <c r="F141" t="s">
        <v>65</v>
      </c>
      <c r="G141" s="1">
        <v>43714</v>
      </c>
      <c r="H141" s="1">
        <v>31562</v>
      </c>
      <c r="I141">
        <v>57236</v>
      </c>
      <c r="J141">
        <v>7434</v>
      </c>
      <c r="K141">
        <v>11403</v>
      </c>
      <c r="L141">
        <f t="shared" si="6"/>
        <v>76073</v>
      </c>
      <c r="M141">
        <f t="shared" si="7"/>
        <v>912876</v>
      </c>
      <c r="N141" s="3">
        <f t="shared" si="8"/>
        <v>0.19922775875323223</v>
      </c>
      <c r="O141">
        <v>4</v>
      </c>
      <c r="P141">
        <v>80</v>
      </c>
      <c r="Q141">
        <v>3</v>
      </c>
      <c r="R141">
        <v>67</v>
      </c>
      <c r="S141">
        <v>2</v>
      </c>
      <c r="T141">
        <v>53</v>
      </c>
      <c r="V141" t="s">
        <v>26</v>
      </c>
      <c r="W141" t="s">
        <v>26</v>
      </c>
      <c r="X141" t="s">
        <v>27</v>
      </c>
    </row>
    <row r="142" spans="1:24" x14ac:dyDescent="0.35">
      <c r="A142" t="s">
        <v>269</v>
      </c>
      <c r="B142" t="s">
        <v>102</v>
      </c>
      <c r="C142" t="s">
        <v>22</v>
      </c>
      <c r="D142" t="s">
        <v>42</v>
      </c>
      <c r="E142" t="s">
        <v>30</v>
      </c>
      <c r="F142" t="s">
        <v>52</v>
      </c>
      <c r="G142" s="1">
        <v>42723</v>
      </c>
      <c r="H142" s="1">
        <v>35746</v>
      </c>
      <c r="I142">
        <v>46147</v>
      </c>
      <c r="J142">
        <v>16656</v>
      </c>
      <c r="K142">
        <v>7558</v>
      </c>
      <c r="L142">
        <f t="shared" si="6"/>
        <v>70361</v>
      </c>
      <c r="M142">
        <f t="shared" si="7"/>
        <v>844332</v>
      </c>
      <c r="N142" s="3">
        <f t="shared" si="8"/>
        <v>0.16378096084252497</v>
      </c>
      <c r="O142">
        <v>9</v>
      </c>
      <c r="P142">
        <v>99</v>
      </c>
      <c r="Q142">
        <v>2</v>
      </c>
      <c r="R142">
        <v>68</v>
      </c>
      <c r="S142">
        <v>11</v>
      </c>
      <c r="T142">
        <v>53</v>
      </c>
      <c r="V142" t="s">
        <v>26</v>
      </c>
      <c r="W142" t="s">
        <v>26</v>
      </c>
      <c r="X142" t="s">
        <v>49</v>
      </c>
    </row>
    <row r="143" spans="1:24" x14ac:dyDescent="0.35">
      <c r="A143" t="s">
        <v>270</v>
      </c>
      <c r="B143" t="s">
        <v>127</v>
      </c>
      <c r="C143" t="s">
        <v>22</v>
      </c>
      <c r="D143" t="s">
        <v>59</v>
      </c>
      <c r="E143" t="s">
        <v>92</v>
      </c>
      <c r="F143" t="s">
        <v>48</v>
      </c>
      <c r="G143" s="1">
        <v>45404</v>
      </c>
      <c r="H143" s="1">
        <v>29415</v>
      </c>
      <c r="I143">
        <v>81171</v>
      </c>
      <c r="J143">
        <v>15991</v>
      </c>
      <c r="K143">
        <v>4599</v>
      </c>
      <c r="L143">
        <f t="shared" si="6"/>
        <v>101761</v>
      </c>
      <c r="M143">
        <f t="shared" si="7"/>
        <v>1221132</v>
      </c>
      <c r="N143" s="3">
        <f t="shared" si="8"/>
        <v>5.6658166093801976E-2</v>
      </c>
      <c r="O143">
        <v>10</v>
      </c>
      <c r="P143">
        <v>84</v>
      </c>
      <c r="Q143">
        <v>1</v>
      </c>
      <c r="R143">
        <v>49</v>
      </c>
      <c r="S143">
        <v>11</v>
      </c>
      <c r="T143">
        <v>63</v>
      </c>
      <c r="V143" t="s">
        <v>26</v>
      </c>
      <c r="W143" t="s">
        <v>26</v>
      </c>
      <c r="X143" t="s">
        <v>87</v>
      </c>
    </row>
    <row r="144" spans="1:24" x14ac:dyDescent="0.35">
      <c r="A144" t="s">
        <v>271</v>
      </c>
      <c r="B144" t="s">
        <v>100</v>
      </c>
      <c r="C144" t="s">
        <v>35</v>
      </c>
      <c r="D144" t="s">
        <v>59</v>
      </c>
      <c r="E144" t="s">
        <v>19</v>
      </c>
      <c r="F144" t="s">
        <v>25</v>
      </c>
      <c r="G144" s="1">
        <v>44976</v>
      </c>
      <c r="H144" s="1">
        <v>34727</v>
      </c>
      <c r="I144">
        <v>30725</v>
      </c>
      <c r="J144">
        <v>10032</v>
      </c>
      <c r="K144">
        <v>2921</v>
      </c>
      <c r="L144">
        <f t="shared" si="6"/>
        <v>43678</v>
      </c>
      <c r="M144">
        <f t="shared" si="7"/>
        <v>524136</v>
      </c>
      <c r="N144" s="3">
        <f t="shared" si="8"/>
        <v>9.5069161920260381E-2</v>
      </c>
      <c r="O144">
        <v>16</v>
      </c>
      <c r="P144">
        <v>80</v>
      </c>
      <c r="Q144">
        <v>2</v>
      </c>
      <c r="R144">
        <v>49</v>
      </c>
      <c r="S144">
        <v>23</v>
      </c>
      <c r="T144">
        <v>91</v>
      </c>
      <c r="V144" t="s">
        <v>26</v>
      </c>
      <c r="W144" t="s">
        <v>26</v>
      </c>
      <c r="X144" t="s">
        <v>87</v>
      </c>
    </row>
    <row r="145" spans="1:24" x14ac:dyDescent="0.35">
      <c r="A145" t="s">
        <v>272</v>
      </c>
      <c r="B145" t="s">
        <v>131</v>
      </c>
      <c r="C145" t="s">
        <v>35</v>
      </c>
      <c r="D145" t="s">
        <v>36</v>
      </c>
      <c r="E145" t="s">
        <v>92</v>
      </c>
      <c r="F145" t="s">
        <v>31</v>
      </c>
      <c r="G145" s="1">
        <v>43043</v>
      </c>
      <c r="H145" s="1">
        <v>34556</v>
      </c>
      <c r="I145">
        <v>61028</v>
      </c>
      <c r="J145">
        <v>13842</v>
      </c>
      <c r="K145">
        <v>3653</v>
      </c>
      <c r="L145">
        <f t="shared" si="6"/>
        <v>78523</v>
      </c>
      <c r="M145">
        <f t="shared" si="7"/>
        <v>942276</v>
      </c>
      <c r="N145" s="3">
        <f t="shared" si="8"/>
        <v>5.9857770203840859E-2</v>
      </c>
      <c r="O145">
        <v>20</v>
      </c>
      <c r="P145">
        <v>88</v>
      </c>
      <c r="Q145">
        <v>2</v>
      </c>
      <c r="R145">
        <v>2</v>
      </c>
      <c r="S145">
        <v>23</v>
      </c>
      <c r="T145">
        <v>79</v>
      </c>
      <c r="V145" t="s">
        <v>38</v>
      </c>
      <c r="W145" t="s">
        <v>26</v>
      </c>
      <c r="X145" t="s">
        <v>49</v>
      </c>
    </row>
    <row r="146" spans="1:24" x14ac:dyDescent="0.35">
      <c r="A146" t="s">
        <v>273</v>
      </c>
      <c r="B146" t="s">
        <v>110</v>
      </c>
      <c r="C146" t="s">
        <v>22</v>
      </c>
      <c r="D146" t="s">
        <v>56</v>
      </c>
      <c r="E146" t="s">
        <v>43</v>
      </c>
      <c r="F146" t="s">
        <v>48</v>
      </c>
      <c r="G146" s="1">
        <v>44155</v>
      </c>
      <c r="H146" s="1">
        <v>34678</v>
      </c>
      <c r="I146">
        <v>81514</v>
      </c>
      <c r="J146">
        <v>6149</v>
      </c>
      <c r="K146">
        <v>4050</v>
      </c>
      <c r="L146">
        <f t="shared" si="6"/>
        <v>91713</v>
      </c>
      <c r="M146">
        <f t="shared" si="7"/>
        <v>1100556</v>
      </c>
      <c r="N146" s="3">
        <f t="shared" si="8"/>
        <v>4.9684716735775451E-2</v>
      </c>
      <c r="O146">
        <v>18</v>
      </c>
      <c r="P146">
        <v>81</v>
      </c>
      <c r="Q146">
        <v>2</v>
      </c>
      <c r="R146">
        <v>28</v>
      </c>
      <c r="S146">
        <v>15</v>
      </c>
      <c r="T146">
        <v>96</v>
      </c>
      <c r="V146" t="s">
        <v>26</v>
      </c>
      <c r="W146" t="s">
        <v>26</v>
      </c>
      <c r="X146" t="s">
        <v>32</v>
      </c>
    </row>
    <row r="147" spans="1:24" x14ac:dyDescent="0.35">
      <c r="A147" t="s">
        <v>274</v>
      </c>
      <c r="B147" t="s">
        <v>122</v>
      </c>
      <c r="C147" t="s">
        <v>22</v>
      </c>
      <c r="D147" t="s">
        <v>64</v>
      </c>
      <c r="E147" t="s">
        <v>92</v>
      </c>
      <c r="F147" t="s">
        <v>65</v>
      </c>
      <c r="G147" s="1">
        <v>44398</v>
      </c>
      <c r="H147" s="1">
        <v>34601</v>
      </c>
      <c r="I147">
        <v>55806</v>
      </c>
      <c r="J147">
        <v>7047</v>
      </c>
      <c r="K147">
        <v>11173</v>
      </c>
      <c r="L147">
        <f t="shared" si="6"/>
        <v>74026</v>
      </c>
      <c r="M147">
        <f t="shared" si="7"/>
        <v>888312</v>
      </c>
      <c r="N147" s="3">
        <f t="shared" si="8"/>
        <v>0.20021144679783537</v>
      </c>
      <c r="O147">
        <v>3</v>
      </c>
      <c r="P147">
        <v>96</v>
      </c>
      <c r="Q147">
        <v>3</v>
      </c>
      <c r="R147">
        <v>6</v>
      </c>
      <c r="S147">
        <v>1</v>
      </c>
      <c r="T147">
        <v>63</v>
      </c>
      <c r="V147" t="s">
        <v>26</v>
      </c>
      <c r="W147" t="s">
        <v>26</v>
      </c>
      <c r="X147" t="s">
        <v>49</v>
      </c>
    </row>
    <row r="148" spans="1:24" x14ac:dyDescent="0.35">
      <c r="A148" t="s">
        <v>275</v>
      </c>
      <c r="B148" t="s">
        <v>202</v>
      </c>
      <c r="C148" t="s">
        <v>35</v>
      </c>
      <c r="D148" t="s">
        <v>56</v>
      </c>
      <c r="E148" t="s">
        <v>92</v>
      </c>
      <c r="F148" t="s">
        <v>48</v>
      </c>
      <c r="G148" s="1">
        <v>42694</v>
      </c>
      <c r="H148" s="1">
        <v>32904</v>
      </c>
      <c r="I148">
        <v>83779</v>
      </c>
      <c r="J148">
        <v>9902</v>
      </c>
      <c r="K148">
        <v>8877</v>
      </c>
      <c r="L148">
        <f t="shared" si="6"/>
        <v>102558</v>
      </c>
      <c r="M148">
        <f t="shared" si="7"/>
        <v>1230696</v>
      </c>
      <c r="N148" s="3">
        <f t="shared" si="8"/>
        <v>0.10595734014490504</v>
      </c>
      <c r="O148">
        <v>7</v>
      </c>
      <c r="P148">
        <v>97</v>
      </c>
      <c r="Q148">
        <v>1</v>
      </c>
      <c r="R148">
        <v>3</v>
      </c>
      <c r="S148">
        <v>15</v>
      </c>
      <c r="T148">
        <v>94</v>
      </c>
      <c r="V148" t="s">
        <v>26</v>
      </c>
      <c r="W148" t="s">
        <v>26</v>
      </c>
      <c r="X148" t="s">
        <v>45</v>
      </c>
    </row>
    <row r="149" spans="1:24" x14ac:dyDescent="0.35">
      <c r="A149" t="s">
        <v>276</v>
      </c>
      <c r="B149" t="s">
        <v>47</v>
      </c>
      <c r="C149" t="s">
        <v>22</v>
      </c>
      <c r="D149" t="s">
        <v>36</v>
      </c>
      <c r="E149" t="s">
        <v>43</v>
      </c>
      <c r="F149" t="s">
        <v>31</v>
      </c>
      <c r="G149" s="1">
        <v>45505</v>
      </c>
      <c r="H149" s="1">
        <v>37664</v>
      </c>
      <c r="I149">
        <v>25982</v>
      </c>
      <c r="J149">
        <v>17770</v>
      </c>
      <c r="K149">
        <v>7712</v>
      </c>
      <c r="L149">
        <f t="shared" si="6"/>
        <v>51464</v>
      </c>
      <c r="M149">
        <f t="shared" si="7"/>
        <v>617568</v>
      </c>
      <c r="N149" s="3">
        <f t="shared" si="8"/>
        <v>0.29682087599107077</v>
      </c>
      <c r="O149">
        <v>6</v>
      </c>
      <c r="P149">
        <v>87</v>
      </c>
      <c r="Q149">
        <v>2</v>
      </c>
      <c r="R149">
        <v>74</v>
      </c>
      <c r="S149">
        <v>4</v>
      </c>
      <c r="T149">
        <v>57</v>
      </c>
      <c r="V149" t="s">
        <v>26</v>
      </c>
      <c r="W149" t="s">
        <v>26</v>
      </c>
      <c r="X149" t="s">
        <v>87</v>
      </c>
    </row>
    <row r="150" spans="1:24" x14ac:dyDescent="0.35">
      <c r="A150" t="s">
        <v>277</v>
      </c>
      <c r="B150" t="s">
        <v>82</v>
      </c>
      <c r="C150" t="s">
        <v>35</v>
      </c>
      <c r="D150" t="s">
        <v>36</v>
      </c>
      <c r="E150" t="s">
        <v>30</v>
      </c>
      <c r="F150" t="s">
        <v>25</v>
      </c>
      <c r="G150" s="1">
        <v>44349</v>
      </c>
      <c r="H150" s="1">
        <v>34733</v>
      </c>
      <c r="I150">
        <v>84558</v>
      </c>
      <c r="J150">
        <v>4608</v>
      </c>
      <c r="K150">
        <v>4498</v>
      </c>
      <c r="L150">
        <f t="shared" si="6"/>
        <v>93664</v>
      </c>
      <c r="M150">
        <f t="shared" si="7"/>
        <v>1123968</v>
      </c>
      <c r="N150" s="3">
        <f t="shared" si="8"/>
        <v>5.3194257196243995E-2</v>
      </c>
      <c r="O150">
        <v>10</v>
      </c>
      <c r="P150">
        <v>90</v>
      </c>
      <c r="Q150">
        <v>2</v>
      </c>
      <c r="R150">
        <v>16</v>
      </c>
      <c r="S150">
        <v>18</v>
      </c>
      <c r="T150">
        <v>57</v>
      </c>
      <c r="V150" t="s">
        <v>26</v>
      </c>
      <c r="W150" t="s">
        <v>26</v>
      </c>
      <c r="X150" t="s">
        <v>49</v>
      </c>
    </row>
    <row r="151" spans="1:24" x14ac:dyDescent="0.35">
      <c r="A151" t="s">
        <v>278</v>
      </c>
      <c r="B151" t="s">
        <v>34</v>
      </c>
      <c r="C151" t="s">
        <v>22</v>
      </c>
      <c r="D151" t="s">
        <v>23</v>
      </c>
      <c r="E151" t="s">
        <v>19</v>
      </c>
      <c r="F151" t="s">
        <v>25</v>
      </c>
      <c r="G151" s="1">
        <v>42372</v>
      </c>
      <c r="H151" s="1">
        <v>36476</v>
      </c>
      <c r="I151">
        <v>42116</v>
      </c>
      <c r="J151">
        <v>14805</v>
      </c>
      <c r="K151">
        <v>3351</v>
      </c>
      <c r="L151">
        <f t="shared" si="6"/>
        <v>60272</v>
      </c>
      <c r="M151">
        <f t="shared" si="7"/>
        <v>723264</v>
      </c>
      <c r="N151" s="3">
        <f t="shared" si="8"/>
        <v>7.9565960680026596E-2</v>
      </c>
      <c r="O151">
        <v>18</v>
      </c>
      <c r="P151">
        <v>92</v>
      </c>
      <c r="Q151">
        <v>4</v>
      </c>
      <c r="R151">
        <v>8</v>
      </c>
      <c r="S151">
        <v>14</v>
      </c>
      <c r="T151">
        <v>51</v>
      </c>
      <c r="V151" t="s">
        <v>26</v>
      </c>
      <c r="W151" t="s">
        <v>26</v>
      </c>
      <c r="X151" t="s">
        <v>32</v>
      </c>
    </row>
    <row r="152" spans="1:24" x14ac:dyDescent="0.35">
      <c r="A152" t="s">
        <v>279</v>
      </c>
      <c r="B152" t="s">
        <v>120</v>
      </c>
      <c r="C152" t="s">
        <v>35</v>
      </c>
      <c r="D152" t="s">
        <v>56</v>
      </c>
      <c r="E152" t="s">
        <v>19</v>
      </c>
      <c r="F152" t="s">
        <v>52</v>
      </c>
      <c r="G152" s="1">
        <v>43092</v>
      </c>
      <c r="H152" s="1">
        <v>30339</v>
      </c>
      <c r="I152">
        <v>56449</v>
      </c>
      <c r="J152">
        <v>11283</v>
      </c>
      <c r="K152">
        <v>3795</v>
      </c>
      <c r="L152">
        <f t="shared" si="6"/>
        <v>71527</v>
      </c>
      <c r="M152">
        <f t="shared" si="7"/>
        <v>858324</v>
      </c>
      <c r="N152" s="3">
        <f t="shared" si="8"/>
        <v>6.7228826019947202E-2</v>
      </c>
      <c r="O152">
        <v>5</v>
      </c>
      <c r="P152">
        <v>98</v>
      </c>
      <c r="Q152">
        <v>4</v>
      </c>
      <c r="R152">
        <v>16</v>
      </c>
      <c r="S152">
        <v>18</v>
      </c>
      <c r="T152">
        <v>95</v>
      </c>
      <c r="V152" t="s">
        <v>26</v>
      </c>
      <c r="W152" t="s">
        <v>38</v>
      </c>
      <c r="X152" t="s">
        <v>45</v>
      </c>
    </row>
    <row r="153" spans="1:24" x14ac:dyDescent="0.35">
      <c r="A153" t="s">
        <v>280</v>
      </c>
      <c r="B153" t="s">
        <v>281</v>
      </c>
      <c r="C153" t="s">
        <v>22</v>
      </c>
      <c r="D153" t="s">
        <v>64</v>
      </c>
      <c r="E153" t="s">
        <v>24</v>
      </c>
      <c r="F153" t="s">
        <v>52</v>
      </c>
      <c r="G153" s="1">
        <v>42977</v>
      </c>
      <c r="H153" s="1">
        <v>35972</v>
      </c>
      <c r="I153">
        <v>91819</v>
      </c>
      <c r="J153">
        <v>15739</v>
      </c>
      <c r="K153">
        <v>5865</v>
      </c>
      <c r="L153">
        <f t="shared" si="6"/>
        <v>113423</v>
      </c>
      <c r="M153">
        <f t="shared" si="7"/>
        <v>1361076</v>
      </c>
      <c r="N153" s="3">
        <f t="shared" si="8"/>
        <v>6.3875668434637711E-2</v>
      </c>
      <c r="O153">
        <v>19</v>
      </c>
      <c r="P153">
        <v>98</v>
      </c>
      <c r="Q153">
        <v>2</v>
      </c>
      <c r="R153">
        <v>2</v>
      </c>
      <c r="S153">
        <v>5</v>
      </c>
      <c r="T153">
        <v>56</v>
      </c>
      <c r="V153" t="s">
        <v>26</v>
      </c>
      <c r="W153" t="s">
        <v>26</v>
      </c>
      <c r="X153" t="s">
        <v>87</v>
      </c>
    </row>
    <row r="154" spans="1:24" x14ac:dyDescent="0.35">
      <c r="A154" t="s">
        <v>282</v>
      </c>
      <c r="B154" t="s">
        <v>283</v>
      </c>
      <c r="C154" t="s">
        <v>22</v>
      </c>
      <c r="D154" t="s">
        <v>56</v>
      </c>
      <c r="E154" t="s">
        <v>37</v>
      </c>
      <c r="F154" t="s">
        <v>52</v>
      </c>
      <c r="G154" s="1">
        <v>42684</v>
      </c>
      <c r="H154" s="1">
        <v>37457</v>
      </c>
      <c r="I154">
        <v>37385</v>
      </c>
      <c r="J154">
        <v>9698</v>
      </c>
      <c r="K154">
        <v>4559</v>
      </c>
      <c r="L154">
        <f t="shared" si="6"/>
        <v>51642</v>
      </c>
      <c r="M154">
        <f t="shared" si="7"/>
        <v>619704</v>
      </c>
      <c r="N154" s="3">
        <f t="shared" si="8"/>
        <v>0.1219473050688779</v>
      </c>
      <c r="O154">
        <v>20</v>
      </c>
      <c r="P154">
        <v>95</v>
      </c>
      <c r="Q154">
        <v>2</v>
      </c>
      <c r="R154">
        <v>68</v>
      </c>
      <c r="S154">
        <v>13</v>
      </c>
      <c r="T154">
        <v>96</v>
      </c>
      <c r="V154" t="s">
        <v>38</v>
      </c>
      <c r="W154" t="s">
        <v>26</v>
      </c>
      <c r="X154" t="s">
        <v>32</v>
      </c>
    </row>
    <row r="155" spans="1:24" x14ac:dyDescent="0.35">
      <c r="A155" t="s">
        <v>284</v>
      </c>
      <c r="B155" t="s">
        <v>84</v>
      </c>
      <c r="C155" t="s">
        <v>35</v>
      </c>
      <c r="D155" t="s">
        <v>36</v>
      </c>
      <c r="E155" t="s">
        <v>43</v>
      </c>
      <c r="F155" t="s">
        <v>44</v>
      </c>
      <c r="G155" s="1">
        <v>42568</v>
      </c>
      <c r="H155" s="1">
        <v>31825</v>
      </c>
      <c r="I155">
        <v>49034</v>
      </c>
      <c r="J155">
        <v>9307</v>
      </c>
      <c r="K155">
        <v>1875</v>
      </c>
      <c r="L155">
        <f t="shared" si="6"/>
        <v>60216</v>
      </c>
      <c r="M155">
        <f t="shared" si="7"/>
        <v>722592</v>
      </c>
      <c r="N155" s="3">
        <f t="shared" si="8"/>
        <v>3.8238773096218953E-2</v>
      </c>
      <c r="O155">
        <v>18</v>
      </c>
      <c r="P155">
        <v>90</v>
      </c>
      <c r="Q155">
        <v>2</v>
      </c>
      <c r="R155">
        <v>71</v>
      </c>
      <c r="S155">
        <v>4</v>
      </c>
      <c r="T155">
        <v>78</v>
      </c>
      <c r="V155" t="s">
        <v>26</v>
      </c>
      <c r="W155" t="s">
        <v>26</v>
      </c>
      <c r="X155" t="s">
        <v>27</v>
      </c>
    </row>
    <row r="156" spans="1:24" x14ac:dyDescent="0.35">
      <c r="A156" t="s">
        <v>285</v>
      </c>
      <c r="B156" t="s">
        <v>217</v>
      </c>
      <c r="C156" t="s">
        <v>22</v>
      </c>
      <c r="D156" t="s">
        <v>56</v>
      </c>
      <c r="E156" t="s">
        <v>19</v>
      </c>
      <c r="F156" t="s">
        <v>31</v>
      </c>
      <c r="G156" s="1">
        <v>44068</v>
      </c>
      <c r="H156" s="1">
        <v>38219</v>
      </c>
      <c r="I156">
        <v>96415</v>
      </c>
      <c r="J156">
        <v>16561</v>
      </c>
      <c r="K156">
        <v>4907</v>
      </c>
      <c r="L156">
        <f t="shared" si="6"/>
        <v>117883</v>
      </c>
      <c r="M156">
        <f t="shared" si="7"/>
        <v>1414596</v>
      </c>
      <c r="N156" s="3">
        <f t="shared" si="8"/>
        <v>5.0894570346937715E-2</v>
      </c>
      <c r="O156">
        <v>13</v>
      </c>
      <c r="P156">
        <v>89</v>
      </c>
      <c r="Q156">
        <v>3</v>
      </c>
      <c r="R156">
        <v>18</v>
      </c>
      <c r="S156">
        <v>12</v>
      </c>
      <c r="T156">
        <v>71</v>
      </c>
      <c r="V156" t="s">
        <v>38</v>
      </c>
      <c r="W156" t="s">
        <v>26</v>
      </c>
      <c r="X156" t="s">
        <v>49</v>
      </c>
    </row>
    <row r="157" spans="1:24" x14ac:dyDescent="0.35">
      <c r="A157" t="s">
        <v>286</v>
      </c>
      <c r="B157" t="s">
        <v>183</v>
      </c>
      <c r="C157" t="s">
        <v>35</v>
      </c>
      <c r="D157" t="s">
        <v>36</v>
      </c>
      <c r="E157" t="s">
        <v>24</v>
      </c>
      <c r="F157" t="s">
        <v>52</v>
      </c>
      <c r="G157" s="1">
        <v>44246</v>
      </c>
      <c r="H157" s="1">
        <v>37152</v>
      </c>
      <c r="I157">
        <v>25617</v>
      </c>
      <c r="J157">
        <v>14239</v>
      </c>
      <c r="K157">
        <v>1549</v>
      </c>
      <c r="L157">
        <f t="shared" si="6"/>
        <v>41405</v>
      </c>
      <c r="M157">
        <f t="shared" si="7"/>
        <v>496860</v>
      </c>
      <c r="N157" s="3">
        <f t="shared" si="8"/>
        <v>6.0467658195729398E-2</v>
      </c>
      <c r="O157">
        <v>2</v>
      </c>
      <c r="P157">
        <v>98</v>
      </c>
      <c r="Q157">
        <v>1</v>
      </c>
      <c r="R157">
        <v>13</v>
      </c>
      <c r="S157">
        <v>22</v>
      </c>
      <c r="T157">
        <v>74</v>
      </c>
      <c r="V157" t="s">
        <v>26</v>
      </c>
      <c r="W157" t="s">
        <v>26</v>
      </c>
      <c r="X157" t="s">
        <v>27</v>
      </c>
    </row>
    <row r="158" spans="1:24" x14ac:dyDescent="0.35">
      <c r="A158" t="s">
        <v>287</v>
      </c>
      <c r="B158" t="s">
        <v>210</v>
      </c>
      <c r="C158" t="s">
        <v>22</v>
      </c>
      <c r="D158" t="s">
        <v>42</v>
      </c>
      <c r="E158" t="s">
        <v>30</v>
      </c>
      <c r="F158" t="s">
        <v>65</v>
      </c>
      <c r="G158" s="1">
        <v>43370</v>
      </c>
      <c r="H158" s="1">
        <v>34899</v>
      </c>
      <c r="I158">
        <v>31484</v>
      </c>
      <c r="J158">
        <v>7668</v>
      </c>
      <c r="K158">
        <v>4543</v>
      </c>
      <c r="L158">
        <f t="shared" si="6"/>
        <v>43695</v>
      </c>
      <c r="M158">
        <f t="shared" si="7"/>
        <v>524340</v>
      </c>
      <c r="N158" s="3">
        <f t="shared" si="8"/>
        <v>0.14429551518231482</v>
      </c>
      <c r="O158">
        <v>16</v>
      </c>
      <c r="P158">
        <v>87</v>
      </c>
      <c r="Q158">
        <v>5</v>
      </c>
      <c r="R158">
        <v>37</v>
      </c>
      <c r="S158">
        <v>14</v>
      </c>
      <c r="T158">
        <v>50</v>
      </c>
      <c r="V158" t="s">
        <v>26</v>
      </c>
      <c r="W158" t="s">
        <v>26</v>
      </c>
      <c r="X158" t="s">
        <v>39</v>
      </c>
    </row>
    <row r="159" spans="1:24" x14ac:dyDescent="0.35">
      <c r="A159" t="s">
        <v>288</v>
      </c>
      <c r="B159" t="s">
        <v>227</v>
      </c>
      <c r="C159" t="s">
        <v>22</v>
      </c>
      <c r="D159" t="s">
        <v>64</v>
      </c>
      <c r="E159" t="s">
        <v>37</v>
      </c>
      <c r="F159" t="s">
        <v>25</v>
      </c>
      <c r="G159" s="1">
        <v>44551</v>
      </c>
      <c r="H159" s="1">
        <v>31778</v>
      </c>
      <c r="I159">
        <v>60473</v>
      </c>
      <c r="J159">
        <v>8773</v>
      </c>
      <c r="K159">
        <v>2490</v>
      </c>
      <c r="L159">
        <f t="shared" si="6"/>
        <v>71736</v>
      </c>
      <c r="M159">
        <f t="shared" si="7"/>
        <v>860832</v>
      </c>
      <c r="N159" s="3">
        <f t="shared" si="8"/>
        <v>4.1175400591999735E-2</v>
      </c>
      <c r="O159">
        <v>17</v>
      </c>
      <c r="P159">
        <v>93</v>
      </c>
      <c r="Q159">
        <v>3</v>
      </c>
      <c r="R159">
        <v>53</v>
      </c>
      <c r="S159">
        <v>3</v>
      </c>
      <c r="T159">
        <v>88</v>
      </c>
      <c r="V159" t="s">
        <v>26</v>
      </c>
      <c r="W159" t="s">
        <v>26</v>
      </c>
      <c r="X159" t="s">
        <v>45</v>
      </c>
    </row>
    <row r="160" spans="1:24" x14ac:dyDescent="0.35">
      <c r="A160" t="s">
        <v>289</v>
      </c>
      <c r="B160" t="s">
        <v>206</v>
      </c>
      <c r="C160" t="s">
        <v>22</v>
      </c>
      <c r="D160" t="s">
        <v>23</v>
      </c>
      <c r="E160" t="s">
        <v>37</v>
      </c>
      <c r="F160" t="s">
        <v>31</v>
      </c>
      <c r="G160" s="1">
        <v>45431</v>
      </c>
      <c r="H160" s="1">
        <v>30743</v>
      </c>
      <c r="I160">
        <v>30176</v>
      </c>
      <c r="J160">
        <v>7994</v>
      </c>
      <c r="K160">
        <v>7868</v>
      </c>
      <c r="L160">
        <f t="shared" si="6"/>
        <v>46038</v>
      </c>
      <c r="M160">
        <f t="shared" si="7"/>
        <v>552456</v>
      </c>
      <c r="N160" s="3">
        <f t="shared" si="8"/>
        <v>0.26073700954400847</v>
      </c>
      <c r="O160">
        <v>13</v>
      </c>
      <c r="P160">
        <v>95</v>
      </c>
      <c r="Q160">
        <v>4</v>
      </c>
      <c r="R160">
        <v>76</v>
      </c>
      <c r="S160">
        <v>10</v>
      </c>
      <c r="T160">
        <v>98</v>
      </c>
      <c r="V160" t="s">
        <v>26</v>
      </c>
      <c r="W160" t="s">
        <v>38</v>
      </c>
      <c r="X160" t="s">
        <v>27</v>
      </c>
    </row>
    <row r="161" spans="1:24" x14ac:dyDescent="0.35">
      <c r="A161" t="s">
        <v>290</v>
      </c>
      <c r="B161" t="s">
        <v>206</v>
      </c>
      <c r="C161" t="s">
        <v>22</v>
      </c>
      <c r="D161" t="s">
        <v>59</v>
      </c>
      <c r="E161" t="s">
        <v>92</v>
      </c>
      <c r="F161" t="s">
        <v>25</v>
      </c>
      <c r="G161" s="1">
        <v>42259</v>
      </c>
      <c r="H161" s="1">
        <v>30237</v>
      </c>
      <c r="I161">
        <v>66856</v>
      </c>
      <c r="J161">
        <v>6281</v>
      </c>
      <c r="K161">
        <v>1847</v>
      </c>
      <c r="L161">
        <f t="shared" si="6"/>
        <v>74984</v>
      </c>
      <c r="M161">
        <f t="shared" si="7"/>
        <v>899808</v>
      </c>
      <c r="N161" s="3">
        <f t="shared" si="8"/>
        <v>2.7626540624626061E-2</v>
      </c>
      <c r="O161">
        <v>13</v>
      </c>
      <c r="P161">
        <v>95</v>
      </c>
      <c r="Q161">
        <v>3</v>
      </c>
      <c r="R161">
        <v>52</v>
      </c>
      <c r="S161">
        <v>11</v>
      </c>
      <c r="T161">
        <v>67</v>
      </c>
      <c r="V161" t="s">
        <v>26</v>
      </c>
      <c r="W161" t="s">
        <v>26</v>
      </c>
      <c r="X161" t="s">
        <v>49</v>
      </c>
    </row>
    <row r="162" spans="1:24" x14ac:dyDescent="0.35">
      <c r="A162" t="s">
        <v>291</v>
      </c>
      <c r="B162" t="s">
        <v>27</v>
      </c>
      <c r="C162" t="s">
        <v>35</v>
      </c>
      <c r="D162" t="s">
        <v>56</v>
      </c>
      <c r="E162" t="s">
        <v>19</v>
      </c>
      <c r="F162" t="s">
        <v>65</v>
      </c>
      <c r="G162" s="1">
        <v>45717</v>
      </c>
      <c r="H162" s="1">
        <v>31667</v>
      </c>
      <c r="I162">
        <v>46986</v>
      </c>
      <c r="J162">
        <v>5050</v>
      </c>
      <c r="K162">
        <v>10348</v>
      </c>
      <c r="L162">
        <f t="shared" si="6"/>
        <v>62384</v>
      </c>
      <c r="M162">
        <f t="shared" si="7"/>
        <v>748608</v>
      </c>
      <c r="N162" s="3">
        <f t="shared" si="8"/>
        <v>0.22023581492359426</v>
      </c>
      <c r="O162">
        <v>15</v>
      </c>
      <c r="P162">
        <v>97</v>
      </c>
      <c r="Q162">
        <v>1</v>
      </c>
      <c r="R162">
        <v>4</v>
      </c>
      <c r="S162">
        <v>4</v>
      </c>
      <c r="T162">
        <v>69</v>
      </c>
      <c r="V162" t="s">
        <v>26</v>
      </c>
      <c r="W162" t="s">
        <v>26</v>
      </c>
      <c r="X162" t="s">
        <v>39</v>
      </c>
    </row>
    <row r="163" spans="1:24" x14ac:dyDescent="0.35">
      <c r="A163" t="s">
        <v>292</v>
      </c>
      <c r="B163" t="s">
        <v>193</v>
      </c>
      <c r="C163" t="s">
        <v>22</v>
      </c>
      <c r="D163" t="s">
        <v>59</v>
      </c>
      <c r="E163" t="s">
        <v>92</v>
      </c>
      <c r="F163" t="s">
        <v>31</v>
      </c>
      <c r="G163" s="1">
        <v>44055</v>
      </c>
      <c r="H163" s="1">
        <v>35321</v>
      </c>
      <c r="I163">
        <v>84291</v>
      </c>
      <c r="J163">
        <v>4933</v>
      </c>
      <c r="K163">
        <v>14003</v>
      </c>
      <c r="L163">
        <f t="shared" si="6"/>
        <v>103227</v>
      </c>
      <c r="M163">
        <f t="shared" si="7"/>
        <v>1238724</v>
      </c>
      <c r="N163" s="3">
        <f t="shared" si="8"/>
        <v>0.16612687000984683</v>
      </c>
      <c r="O163">
        <v>18</v>
      </c>
      <c r="P163">
        <v>99</v>
      </c>
      <c r="Q163">
        <v>4</v>
      </c>
      <c r="R163">
        <v>53</v>
      </c>
      <c r="S163">
        <v>8</v>
      </c>
      <c r="T163">
        <v>82</v>
      </c>
      <c r="V163" t="s">
        <v>26</v>
      </c>
      <c r="W163" t="s">
        <v>38</v>
      </c>
      <c r="X163" t="s">
        <v>32</v>
      </c>
    </row>
    <row r="164" spans="1:24" x14ac:dyDescent="0.35">
      <c r="A164" t="s">
        <v>293</v>
      </c>
      <c r="B164" t="s">
        <v>51</v>
      </c>
      <c r="C164" t="s">
        <v>35</v>
      </c>
      <c r="D164" t="s">
        <v>59</v>
      </c>
      <c r="E164" t="s">
        <v>92</v>
      </c>
      <c r="F164" t="s">
        <v>44</v>
      </c>
      <c r="G164" s="1">
        <v>42199</v>
      </c>
      <c r="H164" s="1">
        <v>37581</v>
      </c>
      <c r="I164">
        <v>73743</v>
      </c>
      <c r="J164">
        <v>3508</v>
      </c>
      <c r="K164">
        <v>5569</v>
      </c>
      <c r="L164">
        <f t="shared" si="6"/>
        <v>82820</v>
      </c>
      <c r="M164">
        <f t="shared" si="7"/>
        <v>993840</v>
      </c>
      <c r="N164" s="3">
        <f t="shared" si="8"/>
        <v>7.5519032314931581E-2</v>
      </c>
      <c r="O164">
        <v>3</v>
      </c>
      <c r="P164">
        <v>93</v>
      </c>
      <c r="Q164">
        <v>2</v>
      </c>
      <c r="R164">
        <v>11</v>
      </c>
      <c r="S164">
        <v>24</v>
      </c>
      <c r="T164">
        <v>77</v>
      </c>
      <c r="V164" t="s">
        <v>26</v>
      </c>
      <c r="W164" t="s">
        <v>26</v>
      </c>
      <c r="X164" t="s">
        <v>32</v>
      </c>
    </row>
    <row r="165" spans="1:24" x14ac:dyDescent="0.35">
      <c r="A165" t="s">
        <v>294</v>
      </c>
      <c r="B165" t="s">
        <v>295</v>
      </c>
      <c r="C165" t="s">
        <v>35</v>
      </c>
      <c r="D165" t="s">
        <v>59</v>
      </c>
      <c r="E165" t="s">
        <v>37</v>
      </c>
      <c r="F165" t="s">
        <v>25</v>
      </c>
      <c r="G165" s="1">
        <v>43250</v>
      </c>
      <c r="H165" s="1">
        <v>36762</v>
      </c>
      <c r="I165">
        <v>65830</v>
      </c>
      <c r="J165">
        <v>11098</v>
      </c>
      <c r="K165">
        <v>10631</v>
      </c>
      <c r="L165">
        <f t="shared" si="6"/>
        <v>87559</v>
      </c>
      <c r="M165">
        <f t="shared" si="7"/>
        <v>1050708</v>
      </c>
      <c r="N165" s="3">
        <f t="shared" si="8"/>
        <v>0.16149172109980253</v>
      </c>
      <c r="O165">
        <v>3</v>
      </c>
      <c r="P165">
        <v>80</v>
      </c>
      <c r="Q165">
        <v>5</v>
      </c>
      <c r="R165">
        <v>21</v>
      </c>
      <c r="S165">
        <v>21</v>
      </c>
      <c r="T165">
        <v>90</v>
      </c>
      <c r="V165" t="s">
        <v>38</v>
      </c>
      <c r="W165" t="s">
        <v>26</v>
      </c>
      <c r="X165" t="s">
        <v>32</v>
      </c>
    </row>
    <row r="166" spans="1:24" x14ac:dyDescent="0.35">
      <c r="A166" t="s">
        <v>296</v>
      </c>
      <c r="B166" t="s">
        <v>80</v>
      </c>
      <c r="C166" t="s">
        <v>22</v>
      </c>
      <c r="D166" t="s">
        <v>36</v>
      </c>
      <c r="E166" t="s">
        <v>37</v>
      </c>
      <c r="F166" t="s">
        <v>65</v>
      </c>
      <c r="G166" s="1">
        <v>42888</v>
      </c>
      <c r="H166" s="1">
        <v>35740</v>
      </c>
      <c r="I166">
        <v>37798</v>
      </c>
      <c r="J166">
        <v>4931</v>
      </c>
      <c r="K166">
        <v>8248</v>
      </c>
      <c r="L166">
        <f t="shared" si="6"/>
        <v>50977</v>
      </c>
      <c r="M166">
        <f t="shared" si="7"/>
        <v>611724</v>
      </c>
      <c r="N166" s="3">
        <f t="shared" si="8"/>
        <v>0.21821260384147309</v>
      </c>
      <c r="O166">
        <v>11</v>
      </c>
      <c r="P166">
        <v>83</v>
      </c>
      <c r="Q166">
        <v>4</v>
      </c>
      <c r="R166">
        <v>25</v>
      </c>
      <c r="S166">
        <v>14</v>
      </c>
      <c r="T166">
        <v>91</v>
      </c>
      <c r="V166" t="s">
        <v>26</v>
      </c>
      <c r="W166" t="s">
        <v>26</v>
      </c>
      <c r="X166" t="s">
        <v>87</v>
      </c>
    </row>
    <row r="167" spans="1:24" x14ac:dyDescent="0.35">
      <c r="A167" t="s">
        <v>297</v>
      </c>
      <c r="B167" t="s">
        <v>298</v>
      </c>
      <c r="C167" t="s">
        <v>22</v>
      </c>
      <c r="D167" t="s">
        <v>42</v>
      </c>
      <c r="E167" t="s">
        <v>30</v>
      </c>
      <c r="F167" t="s">
        <v>44</v>
      </c>
      <c r="G167" s="1">
        <v>42093</v>
      </c>
      <c r="H167" s="1">
        <v>33053</v>
      </c>
      <c r="I167">
        <v>35408</v>
      </c>
      <c r="J167">
        <v>15660</v>
      </c>
      <c r="K167">
        <v>12767</v>
      </c>
      <c r="L167">
        <f t="shared" si="6"/>
        <v>63835</v>
      </c>
      <c r="M167">
        <f t="shared" si="7"/>
        <v>766020</v>
      </c>
      <c r="N167" s="3">
        <f t="shared" si="8"/>
        <v>0.36056823316764575</v>
      </c>
      <c r="O167">
        <v>9</v>
      </c>
      <c r="P167">
        <v>81</v>
      </c>
      <c r="Q167">
        <v>1</v>
      </c>
      <c r="R167">
        <v>16</v>
      </c>
      <c r="S167">
        <v>20</v>
      </c>
      <c r="T167">
        <v>68</v>
      </c>
      <c r="V167" t="s">
        <v>26</v>
      </c>
      <c r="W167" t="s">
        <v>26</v>
      </c>
      <c r="X167" t="s">
        <v>87</v>
      </c>
    </row>
    <row r="168" spans="1:24" x14ac:dyDescent="0.35">
      <c r="A168" t="s">
        <v>299</v>
      </c>
      <c r="B168" t="s">
        <v>300</v>
      </c>
      <c r="C168" t="s">
        <v>35</v>
      </c>
      <c r="D168" t="s">
        <v>42</v>
      </c>
      <c r="E168" t="s">
        <v>24</v>
      </c>
      <c r="F168" t="s">
        <v>25</v>
      </c>
      <c r="G168" s="1">
        <v>44721</v>
      </c>
      <c r="H168" s="1">
        <v>31864</v>
      </c>
      <c r="I168">
        <v>92335</v>
      </c>
      <c r="J168">
        <v>12089</v>
      </c>
      <c r="K168">
        <v>12114</v>
      </c>
      <c r="L168">
        <f t="shared" si="6"/>
        <v>116538</v>
      </c>
      <c r="M168">
        <f t="shared" si="7"/>
        <v>1398456</v>
      </c>
      <c r="N168" s="3">
        <f t="shared" si="8"/>
        <v>0.13119618779444414</v>
      </c>
      <c r="O168">
        <v>12</v>
      </c>
      <c r="P168">
        <v>87</v>
      </c>
      <c r="Q168">
        <v>5</v>
      </c>
      <c r="R168">
        <v>26</v>
      </c>
      <c r="S168">
        <v>8</v>
      </c>
      <c r="T168">
        <v>76</v>
      </c>
      <c r="V168" t="s">
        <v>38</v>
      </c>
      <c r="W168" t="s">
        <v>26</v>
      </c>
      <c r="X168" t="s">
        <v>39</v>
      </c>
    </row>
    <row r="169" spans="1:24" x14ac:dyDescent="0.35">
      <c r="A169" t="s">
        <v>301</v>
      </c>
      <c r="B169" t="s">
        <v>127</v>
      </c>
      <c r="C169" t="s">
        <v>22</v>
      </c>
      <c r="D169" t="s">
        <v>59</v>
      </c>
      <c r="E169" t="s">
        <v>43</v>
      </c>
      <c r="F169" t="s">
        <v>25</v>
      </c>
      <c r="G169" s="1">
        <v>44382</v>
      </c>
      <c r="H169" s="1">
        <v>34686</v>
      </c>
      <c r="I169">
        <v>57868</v>
      </c>
      <c r="J169">
        <v>16508</v>
      </c>
      <c r="K169">
        <v>7345</v>
      </c>
      <c r="L169">
        <f t="shared" si="6"/>
        <v>81721</v>
      </c>
      <c r="M169">
        <f t="shared" si="7"/>
        <v>980652</v>
      </c>
      <c r="N169" s="3">
        <f t="shared" si="8"/>
        <v>0.12692679892168382</v>
      </c>
      <c r="O169">
        <v>1</v>
      </c>
      <c r="P169">
        <v>82</v>
      </c>
      <c r="Q169">
        <v>1</v>
      </c>
      <c r="R169">
        <v>36</v>
      </c>
      <c r="S169">
        <v>13</v>
      </c>
      <c r="T169">
        <v>95</v>
      </c>
      <c r="V169" t="s">
        <v>38</v>
      </c>
      <c r="W169" t="s">
        <v>26</v>
      </c>
      <c r="X169" t="s">
        <v>87</v>
      </c>
    </row>
    <row r="170" spans="1:24" x14ac:dyDescent="0.35">
      <c r="A170" t="s">
        <v>302</v>
      </c>
      <c r="B170" t="s">
        <v>206</v>
      </c>
      <c r="C170" t="s">
        <v>22</v>
      </c>
      <c r="D170" t="s">
        <v>56</v>
      </c>
      <c r="E170" t="s">
        <v>30</v>
      </c>
      <c r="F170" t="s">
        <v>44</v>
      </c>
      <c r="G170" s="1">
        <v>42494</v>
      </c>
      <c r="H170" s="1">
        <v>33643</v>
      </c>
      <c r="I170">
        <v>60073</v>
      </c>
      <c r="J170">
        <v>3263</v>
      </c>
      <c r="K170">
        <v>8511</v>
      </c>
      <c r="L170">
        <f t="shared" si="6"/>
        <v>71847</v>
      </c>
      <c r="M170">
        <f t="shared" si="7"/>
        <v>862164</v>
      </c>
      <c r="N170" s="3">
        <f t="shared" si="8"/>
        <v>0.14167762555557406</v>
      </c>
      <c r="O170">
        <v>1</v>
      </c>
      <c r="P170">
        <v>95</v>
      </c>
      <c r="Q170">
        <v>4</v>
      </c>
      <c r="R170">
        <v>51</v>
      </c>
      <c r="S170">
        <v>25</v>
      </c>
      <c r="T170">
        <v>74</v>
      </c>
      <c r="V170" t="s">
        <v>38</v>
      </c>
      <c r="W170" t="s">
        <v>38</v>
      </c>
      <c r="X170" t="s">
        <v>39</v>
      </c>
    </row>
    <row r="171" spans="1:24" x14ac:dyDescent="0.35">
      <c r="A171" t="s">
        <v>303</v>
      </c>
      <c r="B171" t="s">
        <v>100</v>
      </c>
      <c r="C171" t="s">
        <v>22</v>
      </c>
      <c r="D171" t="s">
        <v>23</v>
      </c>
      <c r="E171" t="s">
        <v>24</v>
      </c>
      <c r="F171" t="s">
        <v>65</v>
      </c>
      <c r="G171" s="1">
        <v>44091</v>
      </c>
      <c r="H171" s="1">
        <v>34439</v>
      </c>
      <c r="I171">
        <v>67527</v>
      </c>
      <c r="J171">
        <v>14829</v>
      </c>
      <c r="K171">
        <v>4883</v>
      </c>
      <c r="L171">
        <f t="shared" si="6"/>
        <v>87239</v>
      </c>
      <c r="M171">
        <f t="shared" si="7"/>
        <v>1046868</v>
      </c>
      <c r="N171" s="3">
        <f t="shared" si="8"/>
        <v>7.2311816014335006E-2</v>
      </c>
      <c r="O171">
        <v>11</v>
      </c>
      <c r="P171">
        <v>90</v>
      </c>
      <c r="Q171">
        <v>3</v>
      </c>
      <c r="R171">
        <v>18</v>
      </c>
      <c r="S171">
        <v>12</v>
      </c>
      <c r="T171">
        <v>94</v>
      </c>
      <c r="V171" t="s">
        <v>26</v>
      </c>
      <c r="W171" t="s">
        <v>26</v>
      </c>
      <c r="X171" t="s">
        <v>87</v>
      </c>
    </row>
    <row r="172" spans="1:24" x14ac:dyDescent="0.35">
      <c r="A172" t="s">
        <v>304</v>
      </c>
      <c r="B172" t="s">
        <v>215</v>
      </c>
      <c r="C172" t="s">
        <v>22</v>
      </c>
      <c r="D172" t="s">
        <v>23</v>
      </c>
      <c r="E172" t="s">
        <v>43</v>
      </c>
      <c r="F172" t="s">
        <v>65</v>
      </c>
      <c r="G172" s="1">
        <v>44329</v>
      </c>
      <c r="H172" s="1">
        <v>29445</v>
      </c>
      <c r="I172">
        <v>96527</v>
      </c>
      <c r="J172">
        <v>14380</v>
      </c>
      <c r="K172">
        <v>2602</v>
      </c>
      <c r="L172">
        <f t="shared" si="6"/>
        <v>113509</v>
      </c>
      <c r="M172">
        <f t="shared" si="7"/>
        <v>1362108</v>
      </c>
      <c r="N172" s="3">
        <f t="shared" si="8"/>
        <v>2.6956188423964279E-2</v>
      </c>
      <c r="O172">
        <v>13</v>
      </c>
      <c r="P172">
        <v>80</v>
      </c>
      <c r="Q172">
        <v>4</v>
      </c>
      <c r="R172">
        <v>21</v>
      </c>
      <c r="S172">
        <v>17</v>
      </c>
      <c r="T172">
        <v>74</v>
      </c>
      <c r="V172" t="s">
        <v>38</v>
      </c>
      <c r="W172" t="s">
        <v>26</v>
      </c>
      <c r="X172" t="s">
        <v>39</v>
      </c>
    </row>
    <row r="173" spans="1:24" x14ac:dyDescent="0.35">
      <c r="A173" t="s">
        <v>305</v>
      </c>
      <c r="B173" t="s">
        <v>230</v>
      </c>
      <c r="C173" t="s">
        <v>22</v>
      </c>
      <c r="D173" t="s">
        <v>59</v>
      </c>
      <c r="E173" t="s">
        <v>43</v>
      </c>
      <c r="F173" t="s">
        <v>25</v>
      </c>
      <c r="G173" s="1">
        <v>45803</v>
      </c>
      <c r="H173" s="1">
        <v>31116</v>
      </c>
      <c r="I173">
        <v>74457</v>
      </c>
      <c r="J173">
        <v>3253</v>
      </c>
      <c r="K173">
        <v>4802</v>
      </c>
      <c r="L173">
        <f t="shared" si="6"/>
        <v>82512</v>
      </c>
      <c r="M173">
        <f t="shared" si="7"/>
        <v>990144</v>
      </c>
      <c r="N173" s="3">
        <f t="shared" si="8"/>
        <v>6.4493600333078147E-2</v>
      </c>
      <c r="O173">
        <v>8</v>
      </c>
      <c r="P173">
        <v>88</v>
      </c>
      <c r="Q173">
        <v>4</v>
      </c>
      <c r="R173">
        <v>33</v>
      </c>
      <c r="S173">
        <v>10</v>
      </c>
      <c r="T173">
        <v>79</v>
      </c>
      <c r="V173" t="s">
        <v>26</v>
      </c>
      <c r="W173" t="s">
        <v>26</v>
      </c>
      <c r="X173" t="s">
        <v>49</v>
      </c>
    </row>
    <row r="174" spans="1:24" x14ac:dyDescent="0.35">
      <c r="A174" t="s">
        <v>306</v>
      </c>
      <c r="B174" t="s">
        <v>177</v>
      </c>
      <c r="C174" t="s">
        <v>35</v>
      </c>
      <c r="D174" t="s">
        <v>59</v>
      </c>
      <c r="E174" t="s">
        <v>37</v>
      </c>
      <c r="F174" t="s">
        <v>44</v>
      </c>
      <c r="G174" s="1">
        <v>43543</v>
      </c>
      <c r="H174" s="1">
        <v>36803</v>
      </c>
      <c r="I174">
        <v>84048</v>
      </c>
      <c r="J174">
        <v>3126</v>
      </c>
      <c r="K174">
        <v>3594</v>
      </c>
      <c r="L174">
        <f t="shared" si="6"/>
        <v>90768</v>
      </c>
      <c r="M174">
        <f t="shared" si="7"/>
        <v>1089216</v>
      </c>
      <c r="N174" s="3">
        <f t="shared" si="8"/>
        <v>4.276127926898915E-2</v>
      </c>
      <c r="O174">
        <v>13</v>
      </c>
      <c r="P174">
        <v>85</v>
      </c>
      <c r="Q174">
        <v>1</v>
      </c>
      <c r="R174">
        <v>34</v>
      </c>
      <c r="S174">
        <v>14</v>
      </c>
      <c r="T174">
        <v>100</v>
      </c>
      <c r="V174" t="s">
        <v>38</v>
      </c>
      <c r="W174" t="s">
        <v>26</v>
      </c>
      <c r="X174" t="s">
        <v>45</v>
      </c>
    </row>
    <row r="175" spans="1:24" x14ac:dyDescent="0.35">
      <c r="A175" t="s">
        <v>307</v>
      </c>
      <c r="B175" t="s">
        <v>308</v>
      </c>
      <c r="C175" t="s">
        <v>35</v>
      </c>
      <c r="D175" t="s">
        <v>42</v>
      </c>
      <c r="E175" t="s">
        <v>19</v>
      </c>
      <c r="F175" t="s">
        <v>25</v>
      </c>
      <c r="G175" s="1">
        <v>42189</v>
      </c>
      <c r="H175" s="1">
        <v>32564</v>
      </c>
      <c r="I175">
        <v>40377</v>
      </c>
      <c r="J175">
        <v>13370</v>
      </c>
      <c r="K175">
        <v>4641</v>
      </c>
      <c r="L175">
        <f t="shared" si="6"/>
        <v>58388</v>
      </c>
      <c r="M175">
        <f t="shared" si="7"/>
        <v>700656</v>
      </c>
      <c r="N175" s="3">
        <f t="shared" si="8"/>
        <v>0.11494167471580355</v>
      </c>
      <c r="O175">
        <v>4</v>
      </c>
      <c r="P175">
        <v>90</v>
      </c>
      <c r="Q175">
        <v>3</v>
      </c>
      <c r="R175">
        <v>24</v>
      </c>
      <c r="S175">
        <v>7</v>
      </c>
      <c r="T175">
        <v>81</v>
      </c>
      <c r="V175" t="s">
        <v>26</v>
      </c>
      <c r="W175" t="s">
        <v>26</v>
      </c>
      <c r="X175" t="s">
        <v>32</v>
      </c>
    </row>
    <row r="176" spans="1:24" x14ac:dyDescent="0.35">
      <c r="A176" t="s">
        <v>309</v>
      </c>
      <c r="B176" t="s">
        <v>227</v>
      </c>
      <c r="C176" t="s">
        <v>35</v>
      </c>
      <c r="D176" t="s">
        <v>42</v>
      </c>
      <c r="E176" t="s">
        <v>30</v>
      </c>
      <c r="F176" t="s">
        <v>44</v>
      </c>
      <c r="G176" s="1">
        <v>42699</v>
      </c>
      <c r="H176" s="1">
        <v>33301</v>
      </c>
      <c r="I176">
        <v>48294</v>
      </c>
      <c r="J176">
        <v>3620</v>
      </c>
      <c r="K176">
        <v>5041</v>
      </c>
      <c r="L176">
        <f t="shared" si="6"/>
        <v>56955</v>
      </c>
      <c r="M176">
        <f t="shared" si="7"/>
        <v>683460</v>
      </c>
      <c r="N176" s="3">
        <f t="shared" si="8"/>
        <v>0.10438149666625254</v>
      </c>
      <c r="O176">
        <v>7</v>
      </c>
      <c r="P176">
        <v>93</v>
      </c>
      <c r="Q176">
        <v>5</v>
      </c>
      <c r="R176">
        <v>52</v>
      </c>
      <c r="S176">
        <v>19</v>
      </c>
      <c r="T176">
        <v>86</v>
      </c>
      <c r="V176" t="s">
        <v>26</v>
      </c>
      <c r="W176" t="s">
        <v>26</v>
      </c>
      <c r="X176" t="s">
        <v>49</v>
      </c>
    </row>
    <row r="177" spans="1:24" x14ac:dyDescent="0.35">
      <c r="A177" t="s">
        <v>310</v>
      </c>
      <c r="B177" t="s">
        <v>151</v>
      </c>
      <c r="C177" t="s">
        <v>35</v>
      </c>
      <c r="D177" t="s">
        <v>42</v>
      </c>
      <c r="E177" t="s">
        <v>24</v>
      </c>
      <c r="F177" t="s">
        <v>44</v>
      </c>
      <c r="G177" s="1">
        <v>42252</v>
      </c>
      <c r="H177" s="1">
        <v>35236</v>
      </c>
      <c r="I177">
        <v>94655</v>
      </c>
      <c r="J177">
        <v>11178</v>
      </c>
      <c r="K177">
        <v>13473</v>
      </c>
      <c r="L177">
        <f t="shared" si="6"/>
        <v>119306</v>
      </c>
      <c r="M177">
        <f t="shared" si="7"/>
        <v>1431672</v>
      </c>
      <c r="N177" s="3">
        <f t="shared" si="8"/>
        <v>0.14233796418572711</v>
      </c>
      <c r="O177">
        <v>6</v>
      </c>
      <c r="P177">
        <v>89</v>
      </c>
      <c r="Q177">
        <v>4</v>
      </c>
      <c r="R177">
        <v>40</v>
      </c>
      <c r="S177">
        <v>4</v>
      </c>
      <c r="T177">
        <v>58</v>
      </c>
      <c r="V177" t="s">
        <v>26</v>
      </c>
      <c r="W177" t="s">
        <v>26</v>
      </c>
      <c r="X177" t="s">
        <v>32</v>
      </c>
    </row>
    <row r="178" spans="1:24" x14ac:dyDescent="0.35">
      <c r="A178" t="s">
        <v>311</v>
      </c>
      <c r="B178" t="s">
        <v>164</v>
      </c>
      <c r="C178" t="s">
        <v>35</v>
      </c>
      <c r="D178" t="s">
        <v>36</v>
      </c>
      <c r="E178" t="s">
        <v>24</v>
      </c>
      <c r="F178" t="s">
        <v>44</v>
      </c>
      <c r="G178" s="1">
        <v>43892</v>
      </c>
      <c r="H178" s="1">
        <v>29866</v>
      </c>
      <c r="I178">
        <v>29763</v>
      </c>
      <c r="J178">
        <v>6811</v>
      </c>
      <c r="K178">
        <v>9906</v>
      </c>
      <c r="L178">
        <f t="shared" si="6"/>
        <v>46480</v>
      </c>
      <c r="M178">
        <f t="shared" si="7"/>
        <v>557760</v>
      </c>
      <c r="N178" s="3">
        <f t="shared" si="8"/>
        <v>0.3328293518798508</v>
      </c>
      <c r="O178">
        <v>3</v>
      </c>
      <c r="P178">
        <v>86</v>
      </c>
      <c r="Q178">
        <v>3</v>
      </c>
      <c r="R178">
        <v>22</v>
      </c>
      <c r="S178">
        <v>22</v>
      </c>
      <c r="T178">
        <v>73</v>
      </c>
      <c r="V178" t="s">
        <v>26</v>
      </c>
      <c r="W178" t="s">
        <v>26</v>
      </c>
      <c r="X178" t="s">
        <v>49</v>
      </c>
    </row>
    <row r="179" spans="1:24" x14ac:dyDescent="0.35">
      <c r="A179" t="s">
        <v>312</v>
      </c>
      <c r="B179" t="s">
        <v>135</v>
      </c>
      <c r="C179" t="s">
        <v>22</v>
      </c>
      <c r="D179" t="s">
        <v>36</v>
      </c>
      <c r="E179" t="s">
        <v>43</v>
      </c>
      <c r="F179" t="s">
        <v>52</v>
      </c>
      <c r="G179" s="1">
        <v>43264</v>
      </c>
      <c r="H179" s="1">
        <v>37830</v>
      </c>
      <c r="I179">
        <v>72152</v>
      </c>
      <c r="J179">
        <v>17690</v>
      </c>
      <c r="K179">
        <v>12861</v>
      </c>
      <c r="L179">
        <f t="shared" si="6"/>
        <v>102703</v>
      </c>
      <c r="M179">
        <f t="shared" si="7"/>
        <v>1232436</v>
      </c>
      <c r="N179" s="3">
        <f t="shared" si="8"/>
        <v>0.17824869719481096</v>
      </c>
      <c r="O179">
        <v>5</v>
      </c>
      <c r="P179">
        <v>81</v>
      </c>
      <c r="Q179">
        <v>3</v>
      </c>
      <c r="R179">
        <v>52</v>
      </c>
      <c r="S179">
        <v>9</v>
      </c>
      <c r="T179">
        <v>97</v>
      </c>
      <c r="V179" t="s">
        <v>26</v>
      </c>
      <c r="W179" t="s">
        <v>26</v>
      </c>
      <c r="X179" t="s">
        <v>27</v>
      </c>
    </row>
    <row r="180" spans="1:24" x14ac:dyDescent="0.35">
      <c r="A180" t="s">
        <v>313</v>
      </c>
      <c r="B180" t="s">
        <v>314</v>
      </c>
      <c r="C180" t="s">
        <v>22</v>
      </c>
      <c r="D180" t="s">
        <v>59</v>
      </c>
      <c r="E180" t="s">
        <v>24</v>
      </c>
      <c r="F180" t="s">
        <v>52</v>
      </c>
      <c r="G180" s="1">
        <v>42522</v>
      </c>
      <c r="H180" s="1">
        <v>31483</v>
      </c>
      <c r="I180">
        <v>33390</v>
      </c>
      <c r="J180">
        <v>8890</v>
      </c>
      <c r="K180">
        <v>11824</v>
      </c>
      <c r="L180">
        <f t="shared" si="6"/>
        <v>54104</v>
      </c>
      <c r="M180">
        <f t="shared" si="7"/>
        <v>649248</v>
      </c>
      <c r="N180" s="3">
        <f t="shared" si="8"/>
        <v>0.35411799940101829</v>
      </c>
      <c r="O180">
        <v>9</v>
      </c>
      <c r="P180">
        <v>90</v>
      </c>
      <c r="Q180">
        <v>2</v>
      </c>
      <c r="R180">
        <v>23</v>
      </c>
      <c r="S180">
        <v>1</v>
      </c>
      <c r="T180">
        <v>74</v>
      </c>
      <c r="V180" t="s">
        <v>26</v>
      </c>
      <c r="W180" t="s">
        <v>26</v>
      </c>
      <c r="X180" t="s">
        <v>27</v>
      </c>
    </row>
    <row r="181" spans="1:24" x14ac:dyDescent="0.35">
      <c r="A181" t="s">
        <v>315</v>
      </c>
      <c r="B181" t="s">
        <v>151</v>
      </c>
      <c r="C181" t="s">
        <v>22</v>
      </c>
      <c r="D181" t="s">
        <v>42</v>
      </c>
      <c r="E181" t="s">
        <v>92</v>
      </c>
      <c r="F181" t="s">
        <v>48</v>
      </c>
      <c r="G181" s="1">
        <v>43201</v>
      </c>
      <c r="H181" s="1">
        <v>31605</v>
      </c>
      <c r="I181">
        <v>52256</v>
      </c>
      <c r="J181">
        <v>17867</v>
      </c>
      <c r="K181">
        <v>2326</v>
      </c>
      <c r="L181">
        <f t="shared" si="6"/>
        <v>72449</v>
      </c>
      <c r="M181">
        <f t="shared" si="7"/>
        <v>869388</v>
      </c>
      <c r="N181" s="3">
        <f t="shared" si="8"/>
        <v>4.4511635027556645E-2</v>
      </c>
      <c r="O181">
        <v>17</v>
      </c>
      <c r="P181">
        <v>83</v>
      </c>
      <c r="Q181">
        <v>2</v>
      </c>
      <c r="R181">
        <v>22</v>
      </c>
      <c r="S181">
        <v>12</v>
      </c>
      <c r="T181">
        <v>55</v>
      </c>
      <c r="V181" t="s">
        <v>26</v>
      </c>
      <c r="W181" t="s">
        <v>26</v>
      </c>
      <c r="X181" t="s">
        <v>49</v>
      </c>
    </row>
    <row r="182" spans="1:24" x14ac:dyDescent="0.35">
      <c r="A182" t="s">
        <v>316</v>
      </c>
      <c r="B182" t="s">
        <v>159</v>
      </c>
      <c r="C182" t="s">
        <v>35</v>
      </c>
      <c r="D182" t="s">
        <v>56</v>
      </c>
      <c r="E182" t="s">
        <v>19</v>
      </c>
      <c r="F182" t="s">
        <v>44</v>
      </c>
      <c r="G182" s="1">
        <v>45081</v>
      </c>
      <c r="H182" s="1">
        <v>33935</v>
      </c>
      <c r="I182">
        <v>32692</v>
      </c>
      <c r="J182">
        <v>14428</v>
      </c>
      <c r="K182">
        <v>10775</v>
      </c>
      <c r="L182">
        <f t="shared" si="6"/>
        <v>57895</v>
      </c>
      <c r="M182">
        <f t="shared" si="7"/>
        <v>694740</v>
      </c>
      <c r="N182" s="3">
        <f t="shared" si="8"/>
        <v>0.32959133733023371</v>
      </c>
      <c r="O182">
        <v>15</v>
      </c>
      <c r="P182">
        <v>81</v>
      </c>
      <c r="Q182">
        <v>5</v>
      </c>
      <c r="R182">
        <v>63</v>
      </c>
      <c r="S182">
        <v>6</v>
      </c>
      <c r="T182">
        <v>98</v>
      </c>
      <c r="V182" t="s">
        <v>26</v>
      </c>
      <c r="W182" t="s">
        <v>26</v>
      </c>
      <c r="X182" t="s">
        <v>27</v>
      </c>
    </row>
    <row r="183" spans="1:24" x14ac:dyDescent="0.35">
      <c r="A183" t="s">
        <v>317</v>
      </c>
      <c r="B183" t="s">
        <v>308</v>
      </c>
      <c r="C183" t="s">
        <v>22</v>
      </c>
      <c r="D183" t="s">
        <v>23</v>
      </c>
      <c r="E183" t="s">
        <v>24</v>
      </c>
      <c r="F183" t="s">
        <v>25</v>
      </c>
      <c r="G183" s="1">
        <v>42662</v>
      </c>
      <c r="H183" s="1">
        <v>36789</v>
      </c>
      <c r="I183">
        <v>51877</v>
      </c>
      <c r="J183">
        <v>12831</v>
      </c>
      <c r="K183">
        <v>11799</v>
      </c>
      <c r="L183">
        <f t="shared" si="6"/>
        <v>76507</v>
      </c>
      <c r="M183">
        <f t="shared" si="7"/>
        <v>918084</v>
      </c>
      <c r="N183" s="3">
        <f t="shared" si="8"/>
        <v>0.22744183356786243</v>
      </c>
      <c r="O183">
        <v>15</v>
      </c>
      <c r="P183">
        <v>91</v>
      </c>
      <c r="Q183">
        <v>2</v>
      </c>
      <c r="R183">
        <v>41</v>
      </c>
      <c r="S183">
        <v>12</v>
      </c>
      <c r="T183">
        <v>67</v>
      </c>
      <c r="V183" t="s">
        <v>26</v>
      </c>
      <c r="W183" t="s">
        <v>26</v>
      </c>
      <c r="X183" t="s">
        <v>87</v>
      </c>
    </row>
    <row r="184" spans="1:24" x14ac:dyDescent="0.35">
      <c r="A184" t="s">
        <v>318</v>
      </c>
      <c r="B184" t="s">
        <v>127</v>
      </c>
      <c r="C184" t="s">
        <v>35</v>
      </c>
      <c r="D184" t="s">
        <v>56</v>
      </c>
      <c r="E184" t="s">
        <v>37</v>
      </c>
      <c r="F184" t="s">
        <v>48</v>
      </c>
      <c r="G184" s="1">
        <v>42427</v>
      </c>
      <c r="H184" s="1">
        <v>33844</v>
      </c>
      <c r="I184">
        <v>68785</v>
      </c>
      <c r="J184">
        <v>4214</v>
      </c>
      <c r="K184">
        <v>3957</v>
      </c>
      <c r="L184">
        <f t="shared" si="6"/>
        <v>76956</v>
      </c>
      <c r="M184">
        <f t="shared" si="7"/>
        <v>923472</v>
      </c>
      <c r="N184" s="3">
        <f t="shared" si="8"/>
        <v>5.7527077124373049E-2</v>
      </c>
      <c r="O184">
        <v>10</v>
      </c>
      <c r="P184">
        <v>81</v>
      </c>
      <c r="Q184">
        <v>3</v>
      </c>
      <c r="R184">
        <v>52</v>
      </c>
      <c r="S184">
        <v>20</v>
      </c>
      <c r="T184">
        <v>93</v>
      </c>
      <c r="V184" t="s">
        <v>26</v>
      </c>
      <c r="W184" t="s">
        <v>26</v>
      </c>
      <c r="X184" t="s">
        <v>49</v>
      </c>
    </row>
    <row r="185" spans="1:24" x14ac:dyDescent="0.35">
      <c r="A185" t="s">
        <v>319</v>
      </c>
      <c r="B185" t="s">
        <v>320</v>
      </c>
      <c r="C185" t="s">
        <v>35</v>
      </c>
      <c r="D185" t="s">
        <v>42</v>
      </c>
      <c r="E185" t="s">
        <v>43</v>
      </c>
      <c r="F185" t="s">
        <v>25</v>
      </c>
      <c r="G185" s="1">
        <v>42637</v>
      </c>
      <c r="H185" s="1">
        <v>37802</v>
      </c>
      <c r="I185">
        <v>54622</v>
      </c>
      <c r="J185">
        <v>6028</v>
      </c>
      <c r="K185">
        <v>12304</v>
      </c>
      <c r="L185">
        <f t="shared" si="6"/>
        <v>72954</v>
      </c>
      <c r="M185">
        <f t="shared" si="7"/>
        <v>875448</v>
      </c>
      <c r="N185" s="3">
        <f t="shared" si="8"/>
        <v>0.22525722236461498</v>
      </c>
      <c r="O185">
        <v>3</v>
      </c>
      <c r="P185">
        <v>83</v>
      </c>
      <c r="Q185">
        <v>4</v>
      </c>
      <c r="R185">
        <v>79</v>
      </c>
      <c r="S185">
        <v>20</v>
      </c>
      <c r="T185">
        <v>63</v>
      </c>
      <c r="V185" t="s">
        <v>26</v>
      </c>
      <c r="W185" t="s">
        <v>26</v>
      </c>
      <c r="X185" t="s">
        <v>87</v>
      </c>
    </row>
    <row r="186" spans="1:24" x14ac:dyDescent="0.35">
      <c r="A186" t="s">
        <v>321</v>
      </c>
      <c r="B186" t="s">
        <v>204</v>
      </c>
      <c r="C186" t="s">
        <v>35</v>
      </c>
      <c r="D186" t="s">
        <v>64</v>
      </c>
      <c r="E186" t="s">
        <v>19</v>
      </c>
      <c r="F186" t="s">
        <v>65</v>
      </c>
      <c r="G186" s="1">
        <v>43404</v>
      </c>
      <c r="H186" s="1">
        <v>31192</v>
      </c>
      <c r="I186">
        <v>75062</v>
      </c>
      <c r="J186">
        <v>10560</v>
      </c>
      <c r="K186">
        <v>2612</v>
      </c>
      <c r="L186">
        <f t="shared" si="6"/>
        <v>88234</v>
      </c>
      <c r="M186">
        <f t="shared" si="7"/>
        <v>1058808</v>
      </c>
      <c r="N186" s="3">
        <f t="shared" si="8"/>
        <v>3.4797900402334069E-2</v>
      </c>
      <c r="O186">
        <v>13</v>
      </c>
      <c r="P186">
        <v>100</v>
      </c>
      <c r="Q186">
        <v>1</v>
      </c>
      <c r="R186">
        <v>53</v>
      </c>
      <c r="S186">
        <v>9</v>
      </c>
      <c r="T186">
        <v>88</v>
      </c>
      <c r="V186" t="s">
        <v>26</v>
      </c>
      <c r="W186" t="s">
        <v>26</v>
      </c>
      <c r="X186" t="s">
        <v>27</v>
      </c>
    </row>
    <row r="187" spans="1:24" x14ac:dyDescent="0.35">
      <c r="A187" t="s">
        <v>322</v>
      </c>
      <c r="B187" t="s">
        <v>308</v>
      </c>
      <c r="C187" t="s">
        <v>35</v>
      </c>
      <c r="D187" t="s">
        <v>64</v>
      </c>
      <c r="E187" t="s">
        <v>37</v>
      </c>
      <c r="F187" t="s">
        <v>48</v>
      </c>
      <c r="G187" s="1">
        <v>42016</v>
      </c>
      <c r="H187" s="1">
        <v>38088</v>
      </c>
      <c r="I187">
        <v>30325</v>
      </c>
      <c r="J187">
        <v>11791</v>
      </c>
      <c r="K187">
        <v>13227</v>
      </c>
      <c r="L187">
        <f t="shared" si="6"/>
        <v>55343</v>
      </c>
      <c r="M187">
        <f t="shared" si="7"/>
        <v>664116</v>
      </c>
      <c r="N187" s="3">
        <f t="shared" si="8"/>
        <v>0.43617477328936521</v>
      </c>
      <c r="O187">
        <v>18</v>
      </c>
      <c r="P187">
        <v>83</v>
      </c>
      <c r="Q187">
        <v>3</v>
      </c>
      <c r="R187">
        <v>2</v>
      </c>
      <c r="S187">
        <v>0</v>
      </c>
      <c r="T187">
        <v>87</v>
      </c>
      <c r="V187" t="s">
        <v>26</v>
      </c>
      <c r="W187" t="s">
        <v>26</v>
      </c>
      <c r="X187" t="s">
        <v>49</v>
      </c>
    </row>
    <row r="188" spans="1:24" x14ac:dyDescent="0.35">
      <c r="A188" t="s">
        <v>323</v>
      </c>
      <c r="B188" t="s">
        <v>198</v>
      </c>
      <c r="C188" t="s">
        <v>35</v>
      </c>
      <c r="D188" t="s">
        <v>42</v>
      </c>
      <c r="E188" t="s">
        <v>19</v>
      </c>
      <c r="F188" t="s">
        <v>31</v>
      </c>
      <c r="G188" s="1">
        <v>43434</v>
      </c>
      <c r="H188" s="1">
        <v>36668</v>
      </c>
      <c r="I188">
        <v>29962</v>
      </c>
      <c r="J188">
        <v>12241</v>
      </c>
      <c r="K188">
        <v>11738</v>
      </c>
      <c r="L188">
        <f t="shared" si="6"/>
        <v>53941</v>
      </c>
      <c r="M188">
        <f t="shared" si="7"/>
        <v>647292</v>
      </c>
      <c r="N188" s="3">
        <f t="shared" si="8"/>
        <v>0.39176289967291905</v>
      </c>
      <c r="O188">
        <v>19</v>
      </c>
      <c r="P188">
        <v>88</v>
      </c>
      <c r="Q188">
        <v>4</v>
      </c>
      <c r="R188">
        <v>54</v>
      </c>
      <c r="S188">
        <v>0</v>
      </c>
      <c r="T188">
        <v>82</v>
      </c>
      <c r="V188" t="s">
        <v>26</v>
      </c>
      <c r="W188" t="s">
        <v>26</v>
      </c>
      <c r="X188" t="s">
        <v>49</v>
      </c>
    </row>
    <row r="189" spans="1:24" x14ac:dyDescent="0.35">
      <c r="A189" t="s">
        <v>324</v>
      </c>
      <c r="B189" t="s">
        <v>135</v>
      </c>
      <c r="C189" t="s">
        <v>35</v>
      </c>
      <c r="D189" t="s">
        <v>56</v>
      </c>
      <c r="E189" t="s">
        <v>19</v>
      </c>
      <c r="F189" t="s">
        <v>25</v>
      </c>
      <c r="G189" s="1">
        <v>43864</v>
      </c>
      <c r="H189" s="1">
        <v>37258</v>
      </c>
      <c r="I189">
        <v>68349</v>
      </c>
      <c r="J189">
        <v>3983</v>
      </c>
      <c r="K189">
        <v>4096</v>
      </c>
      <c r="L189">
        <f t="shared" si="6"/>
        <v>76428</v>
      </c>
      <c r="M189">
        <f t="shared" si="7"/>
        <v>917136</v>
      </c>
      <c r="N189" s="3">
        <f t="shared" si="8"/>
        <v>5.9927723887694039E-2</v>
      </c>
      <c r="O189">
        <v>20</v>
      </c>
      <c r="P189">
        <v>82</v>
      </c>
      <c r="Q189">
        <v>2</v>
      </c>
      <c r="R189">
        <v>62</v>
      </c>
      <c r="S189">
        <v>0</v>
      </c>
      <c r="T189">
        <v>52</v>
      </c>
      <c r="V189" t="s">
        <v>26</v>
      </c>
      <c r="W189" t="s">
        <v>26</v>
      </c>
      <c r="X189" t="s">
        <v>27</v>
      </c>
    </row>
    <row r="190" spans="1:24" x14ac:dyDescent="0.35">
      <c r="A190" t="s">
        <v>325</v>
      </c>
      <c r="B190" t="s">
        <v>326</v>
      </c>
      <c r="C190" t="s">
        <v>35</v>
      </c>
      <c r="D190" t="s">
        <v>64</v>
      </c>
      <c r="E190" t="s">
        <v>43</v>
      </c>
      <c r="F190" t="s">
        <v>31</v>
      </c>
      <c r="G190" s="1">
        <v>44994</v>
      </c>
      <c r="H190" s="1">
        <v>33353</v>
      </c>
      <c r="I190">
        <v>52679</v>
      </c>
      <c r="J190">
        <v>9225</v>
      </c>
      <c r="K190">
        <v>10603</v>
      </c>
      <c r="L190">
        <f t="shared" si="6"/>
        <v>72507</v>
      </c>
      <c r="M190">
        <f t="shared" si="7"/>
        <v>870084</v>
      </c>
      <c r="N190" s="3">
        <f t="shared" si="8"/>
        <v>0.20127565063877445</v>
      </c>
      <c r="O190">
        <v>15</v>
      </c>
      <c r="P190">
        <v>82</v>
      </c>
      <c r="Q190">
        <v>2</v>
      </c>
      <c r="R190">
        <v>18</v>
      </c>
      <c r="S190">
        <v>16</v>
      </c>
      <c r="T190">
        <v>100</v>
      </c>
      <c r="V190" t="s">
        <v>26</v>
      </c>
      <c r="W190" t="s">
        <v>26</v>
      </c>
      <c r="X190" t="s">
        <v>49</v>
      </c>
    </row>
    <row r="191" spans="1:24" x14ac:dyDescent="0.35">
      <c r="A191" t="s">
        <v>327</v>
      </c>
      <c r="B191" t="s">
        <v>328</v>
      </c>
      <c r="C191" t="s">
        <v>22</v>
      </c>
      <c r="D191" t="s">
        <v>42</v>
      </c>
      <c r="E191" t="s">
        <v>37</v>
      </c>
      <c r="F191" t="s">
        <v>52</v>
      </c>
      <c r="G191" s="1">
        <v>44376</v>
      </c>
      <c r="H191" s="1">
        <v>34830</v>
      </c>
      <c r="I191">
        <v>60025</v>
      </c>
      <c r="J191">
        <v>6861</v>
      </c>
      <c r="K191">
        <v>14502</v>
      </c>
      <c r="L191">
        <f t="shared" si="6"/>
        <v>81388</v>
      </c>
      <c r="M191">
        <f t="shared" si="7"/>
        <v>976656</v>
      </c>
      <c r="N191" s="3">
        <f t="shared" si="8"/>
        <v>0.24159933361099542</v>
      </c>
      <c r="O191">
        <v>6</v>
      </c>
      <c r="P191">
        <v>89</v>
      </c>
      <c r="Q191">
        <v>4</v>
      </c>
      <c r="R191">
        <v>67</v>
      </c>
      <c r="S191">
        <v>5</v>
      </c>
      <c r="T191">
        <v>80</v>
      </c>
      <c r="V191" t="s">
        <v>38</v>
      </c>
      <c r="W191" t="s">
        <v>26</v>
      </c>
      <c r="X191" t="s">
        <v>49</v>
      </c>
    </row>
    <row r="192" spans="1:24" x14ac:dyDescent="0.35">
      <c r="A192" t="s">
        <v>329</v>
      </c>
      <c r="B192" t="s">
        <v>330</v>
      </c>
      <c r="C192" t="s">
        <v>35</v>
      </c>
      <c r="D192" t="s">
        <v>23</v>
      </c>
      <c r="E192" t="s">
        <v>30</v>
      </c>
      <c r="F192" t="s">
        <v>52</v>
      </c>
      <c r="G192" s="1">
        <v>44842</v>
      </c>
      <c r="H192" s="1">
        <v>36249</v>
      </c>
      <c r="I192">
        <v>31584</v>
      </c>
      <c r="J192">
        <v>3243</v>
      </c>
      <c r="K192">
        <v>9125</v>
      </c>
      <c r="L192">
        <f t="shared" si="6"/>
        <v>43952</v>
      </c>
      <c r="M192">
        <f t="shared" si="7"/>
        <v>527424</v>
      </c>
      <c r="N192" s="3">
        <f t="shared" si="8"/>
        <v>0.28891210739614998</v>
      </c>
      <c r="O192">
        <v>14</v>
      </c>
      <c r="P192">
        <v>82</v>
      </c>
      <c r="Q192">
        <v>2</v>
      </c>
      <c r="R192">
        <v>2</v>
      </c>
      <c r="S192">
        <v>9</v>
      </c>
      <c r="T192">
        <v>57</v>
      </c>
      <c r="V192" t="s">
        <v>26</v>
      </c>
      <c r="W192" t="s">
        <v>26</v>
      </c>
      <c r="X192" t="s">
        <v>39</v>
      </c>
    </row>
    <row r="193" spans="1:24" x14ac:dyDescent="0.35">
      <c r="A193" t="s">
        <v>331</v>
      </c>
      <c r="B193" t="s">
        <v>215</v>
      </c>
      <c r="C193" t="s">
        <v>22</v>
      </c>
      <c r="D193" t="s">
        <v>64</v>
      </c>
      <c r="E193" t="s">
        <v>24</v>
      </c>
      <c r="F193" t="s">
        <v>52</v>
      </c>
      <c r="G193" s="1">
        <v>42310</v>
      </c>
      <c r="H193" s="1">
        <v>37918</v>
      </c>
      <c r="I193">
        <v>31783</v>
      </c>
      <c r="J193">
        <v>10857</v>
      </c>
      <c r="K193">
        <v>11998</v>
      </c>
      <c r="L193">
        <f t="shared" si="6"/>
        <v>54638</v>
      </c>
      <c r="M193">
        <f t="shared" si="7"/>
        <v>655656</v>
      </c>
      <c r="N193" s="3">
        <f t="shared" si="8"/>
        <v>0.37749740427272443</v>
      </c>
      <c r="O193">
        <v>19</v>
      </c>
      <c r="P193">
        <v>100</v>
      </c>
      <c r="Q193">
        <v>3</v>
      </c>
      <c r="R193">
        <v>26</v>
      </c>
      <c r="S193">
        <v>10</v>
      </c>
      <c r="T193">
        <v>79</v>
      </c>
      <c r="V193" t="s">
        <v>26</v>
      </c>
      <c r="W193" t="s">
        <v>26</v>
      </c>
      <c r="X193" t="s">
        <v>39</v>
      </c>
    </row>
    <row r="194" spans="1:24" x14ac:dyDescent="0.35">
      <c r="A194" t="s">
        <v>332</v>
      </c>
      <c r="B194" t="s">
        <v>202</v>
      </c>
      <c r="C194" t="s">
        <v>22</v>
      </c>
      <c r="D194" t="s">
        <v>36</v>
      </c>
      <c r="E194" t="s">
        <v>43</v>
      </c>
      <c r="F194" t="s">
        <v>52</v>
      </c>
      <c r="G194" s="1">
        <v>44309</v>
      </c>
      <c r="H194" s="1">
        <v>37516</v>
      </c>
      <c r="I194">
        <v>25421</v>
      </c>
      <c r="J194">
        <v>15415</v>
      </c>
      <c r="K194">
        <v>1266</v>
      </c>
      <c r="L194">
        <f t="shared" si="6"/>
        <v>42102</v>
      </c>
      <c r="M194">
        <f t="shared" si="7"/>
        <v>505224</v>
      </c>
      <c r="N194" s="3">
        <f t="shared" si="8"/>
        <v>4.9801345344400297E-2</v>
      </c>
      <c r="O194">
        <v>6</v>
      </c>
      <c r="P194">
        <v>94</v>
      </c>
      <c r="Q194">
        <v>2</v>
      </c>
      <c r="R194">
        <v>23</v>
      </c>
      <c r="S194">
        <v>17</v>
      </c>
      <c r="T194">
        <v>60</v>
      </c>
      <c r="V194" t="s">
        <v>26</v>
      </c>
      <c r="W194" t="s">
        <v>26</v>
      </c>
      <c r="X194" t="s">
        <v>32</v>
      </c>
    </row>
    <row r="195" spans="1:24" x14ac:dyDescent="0.35">
      <c r="A195" t="s">
        <v>333</v>
      </c>
      <c r="B195" t="s">
        <v>179</v>
      </c>
      <c r="C195" t="s">
        <v>35</v>
      </c>
      <c r="D195" t="s">
        <v>64</v>
      </c>
      <c r="E195" t="s">
        <v>30</v>
      </c>
      <c r="F195" t="s">
        <v>65</v>
      </c>
      <c r="G195" s="1">
        <v>43203</v>
      </c>
      <c r="H195" s="1">
        <v>29620</v>
      </c>
      <c r="I195">
        <v>89735</v>
      </c>
      <c r="J195">
        <v>7219</v>
      </c>
      <c r="K195">
        <v>2004</v>
      </c>
      <c r="L195">
        <f t="shared" ref="L195:L201" si="9">SUM(I195:K195)</f>
        <v>98958</v>
      </c>
      <c r="M195">
        <f t="shared" ref="M195:M201" si="10">L195*12</f>
        <v>1187496</v>
      </c>
      <c r="N195" s="3">
        <f t="shared" ref="N195:N201" si="11">K195/I195</f>
        <v>2.2332423246224996E-2</v>
      </c>
      <c r="O195">
        <v>7</v>
      </c>
      <c r="P195">
        <v>97</v>
      </c>
      <c r="Q195">
        <v>1</v>
      </c>
      <c r="R195">
        <v>57</v>
      </c>
      <c r="S195">
        <v>10</v>
      </c>
      <c r="T195">
        <v>90</v>
      </c>
      <c r="V195" t="s">
        <v>38</v>
      </c>
      <c r="W195" t="s">
        <v>26</v>
      </c>
      <c r="X195" t="s">
        <v>32</v>
      </c>
    </row>
    <row r="196" spans="1:24" x14ac:dyDescent="0.35">
      <c r="A196" t="s">
        <v>334</v>
      </c>
      <c r="B196" t="s">
        <v>335</v>
      </c>
      <c r="C196" t="s">
        <v>35</v>
      </c>
      <c r="D196" t="s">
        <v>42</v>
      </c>
      <c r="E196" t="s">
        <v>24</v>
      </c>
      <c r="F196" t="s">
        <v>52</v>
      </c>
      <c r="G196" s="1">
        <v>42274</v>
      </c>
      <c r="H196" s="1">
        <v>31109</v>
      </c>
      <c r="I196">
        <v>50718</v>
      </c>
      <c r="J196">
        <v>4709</v>
      </c>
      <c r="K196">
        <v>6497</v>
      </c>
      <c r="L196">
        <f t="shared" si="9"/>
        <v>61924</v>
      </c>
      <c r="M196">
        <f t="shared" si="10"/>
        <v>743088</v>
      </c>
      <c r="N196" s="3">
        <f t="shared" si="11"/>
        <v>0.12810047714815254</v>
      </c>
      <c r="O196">
        <v>18</v>
      </c>
      <c r="P196">
        <v>89</v>
      </c>
      <c r="Q196">
        <v>5</v>
      </c>
      <c r="R196">
        <v>24</v>
      </c>
      <c r="S196">
        <v>20</v>
      </c>
      <c r="T196">
        <v>94</v>
      </c>
      <c r="V196" t="s">
        <v>26</v>
      </c>
      <c r="W196" t="s">
        <v>26</v>
      </c>
      <c r="X196" t="s">
        <v>87</v>
      </c>
    </row>
    <row r="197" spans="1:24" x14ac:dyDescent="0.35">
      <c r="A197" t="s">
        <v>336</v>
      </c>
      <c r="B197" t="s">
        <v>71</v>
      </c>
      <c r="C197" t="s">
        <v>35</v>
      </c>
      <c r="D197" t="s">
        <v>56</v>
      </c>
      <c r="E197" t="s">
        <v>30</v>
      </c>
      <c r="F197" t="s">
        <v>65</v>
      </c>
      <c r="G197" s="1">
        <v>44208</v>
      </c>
      <c r="H197" s="1">
        <v>32526</v>
      </c>
      <c r="I197">
        <v>95696</v>
      </c>
      <c r="J197">
        <v>10762</v>
      </c>
      <c r="K197">
        <v>8088</v>
      </c>
      <c r="L197">
        <f t="shared" si="9"/>
        <v>114546</v>
      </c>
      <c r="M197">
        <f t="shared" si="10"/>
        <v>1374552</v>
      </c>
      <c r="N197" s="3">
        <f t="shared" si="11"/>
        <v>8.451763919077078E-2</v>
      </c>
      <c r="O197">
        <v>19</v>
      </c>
      <c r="P197">
        <v>83</v>
      </c>
      <c r="Q197">
        <v>1</v>
      </c>
      <c r="R197">
        <v>76</v>
      </c>
      <c r="S197">
        <v>16</v>
      </c>
      <c r="T197">
        <v>62</v>
      </c>
      <c r="V197" t="s">
        <v>26</v>
      </c>
      <c r="W197" t="s">
        <v>26</v>
      </c>
      <c r="X197" t="s">
        <v>32</v>
      </c>
    </row>
    <row r="198" spans="1:24" x14ac:dyDescent="0.35">
      <c r="A198" t="s">
        <v>337</v>
      </c>
      <c r="B198" t="s">
        <v>78</v>
      </c>
      <c r="C198" t="s">
        <v>22</v>
      </c>
      <c r="D198" t="s">
        <v>59</v>
      </c>
      <c r="E198" t="s">
        <v>37</v>
      </c>
      <c r="F198" t="s">
        <v>65</v>
      </c>
      <c r="G198" s="1">
        <v>43820</v>
      </c>
      <c r="H198" s="1">
        <v>30303</v>
      </c>
      <c r="I198">
        <v>38773</v>
      </c>
      <c r="J198">
        <v>14767</v>
      </c>
      <c r="K198">
        <v>9135</v>
      </c>
      <c r="L198">
        <f t="shared" si="9"/>
        <v>62675</v>
      </c>
      <c r="M198">
        <f t="shared" si="10"/>
        <v>752100</v>
      </c>
      <c r="N198" s="3">
        <f t="shared" si="11"/>
        <v>0.2356020942408377</v>
      </c>
      <c r="O198">
        <v>15</v>
      </c>
      <c r="P198">
        <v>98</v>
      </c>
      <c r="Q198">
        <v>5</v>
      </c>
      <c r="R198">
        <v>22</v>
      </c>
      <c r="S198">
        <v>4</v>
      </c>
      <c r="T198">
        <v>74</v>
      </c>
      <c r="V198" t="s">
        <v>26</v>
      </c>
      <c r="W198" t="s">
        <v>38</v>
      </c>
      <c r="X198" t="s">
        <v>27</v>
      </c>
    </row>
    <row r="199" spans="1:24" x14ac:dyDescent="0.35">
      <c r="A199" t="s">
        <v>338</v>
      </c>
      <c r="B199" t="s">
        <v>98</v>
      </c>
      <c r="C199" t="s">
        <v>35</v>
      </c>
      <c r="D199" t="s">
        <v>36</v>
      </c>
      <c r="E199" t="s">
        <v>30</v>
      </c>
      <c r="F199" t="s">
        <v>31</v>
      </c>
      <c r="G199" s="1">
        <v>45100</v>
      </c>
      <c r="H199" s="1">
        <v>31222</v>
      </c>
      <c r="I199">
        <v>89281</v>
      </c>
      <c r="J199">
        <v>11112</v>
      </c>
      <c r="K199">
        <v>3034</v>
      </c>
      <c r="L199">
        <f t="shared" si="9"/>
        <v>103427</v>
      </c>
      <c r="M199">
        <f t="shared" si="10"/>
        <v>1241124</v>
      </c>
      <c r="N199" s="3">
        <f t="shared" si="11"/>
        <v>3.3982594280978037E-2</v>
      </c>
      <c r="O199">
        <v>16</v>
      </c>
      <c r="P199">
        <v>99</v>
      </c>
      <c r="Q199">
        <v>5</v>
      </c>
      <c r="R199">
        <v>1</v>
      </c>
      <c r="S199">
        <v>2</v>
      </c>
      <c r="T199">
        <v>71</v>
      </c>
      <c r="V199" t="s">
        <v>26</v>
      </c>
      <c r="W199" t="s">
        <v>38</v>
      </c>
      <c r="X199" t="s">
        <v>27</v>
      </c>
    </row>
    <row r="200" spans="1:24" x14ac:dyDescent="0.35">
      <c r="A200" t="s">
        <v>339</v>
      </c>
      <c r="B200" t="s">
        <v>340</v>
      </c>
      <c r="C200" t="s">
        <v>35</v>
      </c>
      <c r="D200" t="s">
        <v>64</v>
      </c>
      <c r="E200" t="s">
        <v>92</v>
      </c>
      <c r="F200" t="s">
        <v>48</v>
      </c>
      <c r="G200" s="1">
        <v>45524</v>
      </c>
      <c r="H200" s="1">
        <v>31983</v>
      </c>
      <c r="I200">
        <v>83226</v>
      </c>
      <c r="J200">
        <v>4643</v>
      </c>
      <c r="K200">
        <v>3808</v>
      </c>
      <c r="L200">
        <f t="shared" si="9"/>
        <v>91677</v>
      </c>
      <c r="M200">
        <f t="shared" si="10"/>
        <v>1100124</v>
      </c>
      <c r="N200" s="3">
        <f t="shared" si="11"/>
        <v>4.5754932352870495E-2</v>
      </c>
      <c r="O200">
        <v>10</v>
      </c>
      <c r="P200">
        <v>87</v>
      </c>
      <c r="Q200">
        <v>2</v>
      </c>
      <c r="R200">
        <v>30</v>
      </c>
      <c r="S200">
        <v>19</v>
      </c>
      <c r="T200">
        <v>78</v>
      </c>
      <c r="V200" t="s">
        <v>26</v>
      </c>
      <c r="W200" t="s">
        <v>26</v>
      </c>
      <c r="X200" t="s">
        <v>39</v>
      </c>
    </row>
    <row r="201" spans="1:24" x14ac:dyDescent="0.35">
      <c r="A201" t="s">
        <v>341</v>
      </c>
      <c r="B201" t="s">
        <v>193</v>
      </c>
      <c r="C201" t="s">
        <v>35</v>
      </c>
      <c r="D201" t="s">
        <v>64</v>
      </c>
      <c r="E201" t="s">
        <v>24</v>
      </c>
      <c r="F201" t="s">
        <v>48</v>
      </c>
      <c r="G201" s="1">
        <v>43919</v>
      </c>
      <c r="H201" s="1">
        <v>38179</v>
      </c>
      <c r="I201">
        <v>45790</v>
      </c>
      <c r="J201">
        <v>13925</v>
      </c>
      <c r="K201">
        <v>1992</v>
      </c>
      <c r="L201">
        <f t="shared" si="9"/>
        <v>61707</v>
      </c>
      <c r="M201">
        <f t="shared" si="10"/>
        <v>740484</v>
      </c>
      <c r="N201" s="3">
        <f t="shared" si="11"/>
        <v>4.3502948241974232E-2</v>
      </c>
      <c r="O201">
        <v>19</v>
      </c>
      <c r="P201">
        <v>94</v>
      </c>
      <c r="Q201">
        <v>2</v>
      </c>
      <c r="R201">
        <v>39</v>
      </c>
      <c r="S201">
        <v>24</v>
      </c>
      <c r="T201">
        <v>82</v>
      </c>
      <c r="V201" t="s">
        <v>26</v>
      </c>
      <c r="W201" t="s">
        <v>26</v>
      </c>
      <c r="X20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C2BA5-FB8B-4356-BBFD-962ACEF6B2DE}">
  <dimension ref="A1:Z205"/>
  <sheetViews>
    <sheetView zoomScale="175" zoomScaleNormal="175" workbookViewId="0"/>
  </sheetViews>
  <sheetFormatPr defaultRowHeight="14.5" x14ac:dyDescent="0.35"/>
  <cols>
    <col min="1" max="1" width="3" bestFit="1" customWidth="1"/>
    <col min="2" max="2" width="70.1796875" style="4" customWidth="1"/>
    <col min="3" max="3" width="40.1796875" style="5" bestFit="1" customWidth="1"/>
  </cols>
  <sheetData>
    <row r="1" spans="1:6" x14ac:dyDescent="0.35">
      <c r="A1">
        <v>1</v>
      </c>
      <c r="B1" s="4" t="s">
        <v>348</v>
      </c>
      <c r="C1" s="5">
        <f>COUNTA(emp_data!A2:A201)</f>
        <v>200</v>
      </c>
    </row>
    <row r="2" spans="1:6" x14ac:dyDescent="0.35">
      <c r="A2">
        <f>A1+1</f>
        <v>2</v>
      </c>
      <c r="B2" s="4" t="s">
        <v>349</v>
      </c>
      <c r="C2" s="5">
        <f>COUNTA(_xlfn.UNIQUE(emp_data!D2:D201))</f>
        <v>6</v>
      </c>
    </row>
    <row r="3" spans="1:6" x14ac:dyDescent="0.35">
      <c r="A3">
        <f t="shared" ref="A3" si="0">A2+1</f>
        <v>3</v>
      </c>
      <c r="B3" s="4" t="s">
        <v>350</v>
      </c>
      <c r="C3" s="5" t="str" cm="1">
        <f t="array" ref="C3:C8">_xlfn.UNIQUE(emp_data!E2:E201)</f>
        <v>Executive</v>
      </c>
    </row>
    <row r="4" spans="1:6" x14ac:dyDescent="0.35">
      <c r="C4" s="5" t="str">
        <v>Analyst</v>
      </c>
    </row>
    <row r="5" spans="1:6" x14ac:dyDescent="0.35">
      <c r="C5" s="5" t="str">
        <v>Team Lead</v>
      </c>
    </row>
    <row r="6" spans="1:6" x14ac:dyDescent="0.35">
      <c r="C6" s="5" t="str">
        <v>Associate</v>
      </c>
    </row>
    <row r="7" spans="1:6" x14ac:dyDescent="0.35">
      <c r="C7" s="5" t="str">
        <v>Manager</v>
      </c>
    </row>
    <row r="8" spans="1:6" x14ac:dyDescent="0.35">
      <c r="C8" s="5" t="str">
        <v>Senior Analyst</v>
      </c>
    </row>
    <row r="9" spans="1:6" x14ac:dyDescent="0.35">
      <c r="A9">
        <v>4</v>
      </c>
      <c r="B9" s="4" t="s">
        <v>342</v>
      </c>
      <c r="C9" s="5" t="str" cm="1">
        <f t="array" ref="C9">_xlfn.LET(
_xlpm.Dept,emp_data!D2:D201,
_xlpm.UniqueDept,_xlfn.UNIQUE(_xlpm.Dept),
_xlpm.DeptCount,COUNTIF(_xlpm.Dept,_xlpm.UniqueDept),
INDEX(_xlpm.UniqueDept,MATCH(MAX(_xlpm.DeptCount),_xlpm.DeptCount,0))
)</f>
        <v>Finance</v>
      </c>
    </row>
    <row r="10" spans="1:6" x14ac:dyDescent="0.35">
      <c r="A10">
        <v>5</v>
      </c>
      <c r="B10" s="4" t="s">
        <v>351</v>
      </c>
      <c r="C10" s="5" t="str" cm="1">
        <f t="array" ref="C10">_xlfn.LET(
_xlpm.Manager,emp_data!X2:X201,
_xlpm.UniqueManager,_xlfn.UNIQUE(_xlpm.Manager),
_xlpm.TeamCount,COUNTIF(_xlpm.Manager,_xlpm.UniqueManager),
INDEX(_xlpm.UniqueManager,MATCH(MAX(_xlpm.TeamCount),_xlpm.TeamCount,0))
)</f>
        <v>Priya M</v>
      </c>
    </row>
    <row r="11" spans="1:6" x14ac:dyDescent="0.35">
      <c r="A11">
        <v>6</v>
      </c>
      <c r="B11" s="4" t="s">
        <v>352</v>
      </c>
      <c r="C11" s="5" t="str">
        <f>_xlfn.XLOOKUP(MAX(emp_data!G2:G201), emp_data!G2:G201, emp_data!A2:A201)</f>
        <v>E1085</v>
      </c>
    </row>
    <row r="12" spans="1:6" x14ac:dyDescent="0.35">
      <c r="A12">
        <v>7</v>
      </c>
      <c r="B12" s="4" t="s">
        <v>353</v>
      </c>
      <c r="C12" s="5" t="str">
        <f>_xlfn.XLOOKUP(MIN(emp_data!H2:H201), emp_data!H2:H201, emp_data!A2:A201)</f>
        <v>E1064</v>
      </c>
    </row>
    <row r="13" spans="1:6" x14ac:dyDescent="0.35">
      <c r="A13">
        <v>8</v>
      </c>
      <c r="B13" s="4" t="s">
        <v>354</v>
      </c>
      <c r="C13" s="5" t="str" cm="1">
        <f t="array" ref="C13">_xlfn.LET(_xlpm.loc,emp_data!F2:F201,_xlpm.u,_xlfn.UNIQUE(_xlpm.loc),_xlpm.cnt,COUNTIF(_xlpm.loc,_xlpm.u),INDEX(_xlpm.u,MATCH(MAX(_xlpm.cnt),_xlpm.cnt,0)))</f>
        <v>Chennai</v>
      </c>
    </row>
    <row r="14" spans="1:6" x14ac:dyDescent="0.35">
      <c r="A14" s="8"/>
      <c r="B14" s="9"/>
      <c r="C14" s="10"/>
      <c r="D14" s="8"/>
      <c r="E14" s="8"/>
      <c r="F14" s="8"/>
    </row>
    <row r="15" spans="1:6" x14ac:dyDescent="0.35">
      <c r="A15">
        <v>9</v>
      </c>
      <c r="B15" s="4" t="s">
        <v>343</v>
      </c>
    </row>
    <row r="16" spans="1:6" x14ac:dyDescent="0.35">
      <c r="A16">
        <v>10</v>
      </c>
      <c r="B16" s="4" t="s">
        <v>355</v>
      </c>
    </row>
    <row r="17" spans="1:26" x14ac:dyDescent="0.35">
      <c r="A17">
        <v>11</v>
      </c>
      <c r="B17" s="4" t="s">
        <v>356</v>
      </c>
    </row>
    <row r="18" spans="1:26" ht="29" x14ac:dyDescent="0.35">
      <c r="A18">
        <v>12</v>
      </c>
      <c r="B18" s="4" t="s">
        <v>370</v>
      </c>
    </row>
    <row r="19" spans="1:26" x14ac:dyDescent="0.35">
      <c r="A19">
        <v>13</v>
      </c>
      <c r="B19" s="4" t="s">
        <v>344</v>
      </c>
      <c r="C19" s="5" t="str">
        <f>_xlfn.LET(
_xlpm.Bonus,emp_data!K2:K201,
_xlpm.EmpName,emp_data!B2:B201,
INDEX(_xlpm.EmpName,MATCH(MAX(_xlpm.Bonus),_xlpm.Bonus,0))
)</f>
        <v>Kumar K</v>
      </c>
    </row>
    <row r="20" spans="1:26" x14ac:dyDescent="0.35">
      <c r="A20">
        <v>14</v>
      </c>
      <c r="B20" s="4" t="s">
        <v>357</v>
      </c>
      <c r="C20" s="5">
        <f>SUM(emp_data!L2:L201)</f>
        <v>15607372</v>
      </c>
    </row>
    <row r="21" spans="1:26" x14ac:dyDescent="0.35">
      <c r="A21">
        <v>15</v>
      </c>
      <c r="B21" s="4" t="s">
        <v>358</v>
      </c>
      <c r="C21" s="5">
        <f>SUM(emp_data!L2:L201)/COUNTA(emp_data!A2:A201)</f>
        <v>78036.86</v>
      </c>
    </row>
    <row r="22" spans="1:26" x14ac:dyDescent="0.35">
      <c r="A22">
        <v>16</v>
      </c>
      <c r="B22" s="4" t="s">
        <v>359</v>
      </c>
    </row>
    <row r="23" spans="1:26" x14ac:dyDescent="0.35">
      <c r="A23">
        <v>17</v>
      </c>
      <c r="B23" s="4" t="s">
        <v>360</v>
      </c>
    </row>
    <row r="24" spans="1:26" x14ac:dyDescent="0.35">
      <c r="A24">
        <v>18</v>
      </c>
      <c r="B24" s="4" t="s">
        <v>361</v>
      </c>
    </row>
    <row r="25" spans="1:26" x14ac:dyDescent="0.35">
      <c r="A25">
        <v>19</v>
      </c>
      <c r="B25" s="4" t="s">
        <v>362</v>
      </c>
      <c r="C25" s="5" t="str" cm="1">
        <f t="array" ref="C25:Z118">_xlfn._xlws.FILTER(emp_data!A2:X201,emp_data!L2:L201&gt;AVERAGE(emp_data!L2:L201))</f>
        <v>E1001</v>
      </c>
      <c r="D25" t="str">
        <v>Priya S</v>
      </c>
      <c r="E25" t="str">
        <v>Male</v>
      </c>
      <c r="F25" t="str">
        <v>Sales</v>
      </c>
      <c r="G25" t="str">
        <v>Executive</v>
      </c>
      <c r="H25" t="str">
        <v>Chennai</v>
      </c>
      <c r="I25">
        <v>45439</v>
      </c>
      <c r="J25">
        <v>29846</v>
      </c>
      <c r="K25">
        <v>74692</v>
      </c>
      <c r="L25">
        <v>11785</v>
      </c>
      <c r="M25">
        <v>10213</v>
      </c>
      <c r="N25">
        <v>96690</v>
      </c>
      <c r="O25">
        <v>1160280</v>
      </c>
      <c r="P25">
        <v>0.13673485781609812</v>
      </c>
      <c r="Q25">
        <v>11</v>
      </c>
      <c r="R25">
        <v>90</v>
      </c>
      <c r="S25">
        <v>1</v>
      </c>
      <c r="T25">
        <v>20</v>
      </c>
      <c r="U25">
        <v>4</v>
      </c>
      <c r="V25">
        <v>71</v>
      </c>
      <c r="W25">
        <v>0</v>
      </c>
      <c r="X25" t="str">
        <v>No</v>
      </c>
      <c r="Y25" t="str">
        <v>No</v>
      </c>
      <c r="Z25" t="str">
        <v>Manoj P</v>
      </c>
    </row>
    <row r="26" spans="1:26" x14ac:dyDescent="0.35">
      <c r="C26" s="5" t="str">
        <v>E1003</v>
      </c>
      <c r="D26" t="str">
        <v>Meena M</v>
      </c>
      <c r="E26" t="str">
        <v>Female</v>
      </c>
      <c r="F26" t="str">
        <v>Finance</v>
      </c>
      <c r="G26" t="str">
        <v>Team Lead</v>
      </c>
      <c r="H26" t="str">
        <v>Chennai</v>
      </c>
      <c r="I26">
        <v>45153</v>
      </c>
      <c r="J26">
        <v>34219</v>
      </c>
      <c r="K26">
        <v>70018</v>
      </c>
      <c r="L26">
        <v>11547</v>
      </c>
      <c r="M26">
        <v>14131</v>
      </c>
      <c r="N26">
        <v>95696</v>
      </c>
      <c r="O26">
        <v>1148352</v>
      </c>
      <c r="P26">
        <v>0.20181953212031192</v>
      </c>
      <c r="Q26">
        <v>16</v>
      </c>
      <c r="R26">
        <v>86</v>
      </c>
      <c r="S26">
        <v>5</v>
      </c>
      <c r="T26">
        <v>67</v>
      </c>
      <c r="U26">
        <v>18</v>
      </c>
      <c r="V26">
        <v>70</v>
      </c>
      <c r="W26">
        <v>0</v>
      </c>
      <c r="X26" t="str">
        <v>Yes</v>
      </c>
      <c r="Y26" t="str">
        <v>No</v>
      </c>
      <c r="Z26" t="str">
        <v>Divya R</v>
      </c>
    </row>
    <row r="27" spans="1:26" x14ac:dyDescent="0.35">
      <c r="C27" s="5" t="str">
        <v>E1006</v>
      </c>
      <c r="D27" t="str">
        <v>Priya V</v>
      </c>
      <c r="E27" t="str">
        <v>Female</v>
      </c>
      <c r="F27" t="str">
        <v>Sales</v>
      </c>
      <c r="G27" t="str">
        <v>Associate</v>
      </c>
      <c r="H27" t="str">
        <v>Mumbai</v>
      </c>
      <c r="I27">
        <v>42960</v>
      </c>
      <c r="J27">
        <v>38136</v>
      </c>
      <c r="K27">
        <v>88414</v>
      </c>
      <c r="L27">
        <v>5909</v>
      </c>
      <c r="M27">
        <v>3519</v>
      </c>
      <c r="N27">
        <v>97842</v>
      </c>
      <c r="O27">
        <v>1174104</v>
      </c>
      <c r="P27">
        <v>3.9801388920306741E-2</v>
      </c>
      <c r="Q27">
        <v>18</v>
      </c>
      <c r="R27">
        <v>94</v>
      </c>
      <c r="S27">
        <v>4</v>
      </c>
      <c r="T27">
        <v>59</v>
      </c>
      <c r="U27">
        <v>1</v>
      </c>
      <c r="V27">
        <v>50</v>
      </c>
      <c r="W27">
        <v>0</v>
      </c>
      <c r="X27" t="str">
        <v>No</v>
      </c>
      <c r="Y27" t="str">
        <v>No</v>
      </c>
      <c r="Z27" t="str">
        <v>Divya R</v>
      </c>
    </row>
    <row r="28" spans="1:26" x14ac:dyDescent="0.35">
      <c r="C28" s="5" t="str">
        <v>E1008</v>
      </c>
      <c r="D28" t="str">
        <v>Kumar K</v>
      </c>
      <c r="E28" t="str">
        <v>Female</v>
      </c>
      <c r="F28" t="str">
        <v>IT</v>
      </c>
      <c r="G28" t="str">
        <v>Executive</v>
      </c>
      <c r="H28" t="str">
        <v>Madurai</v>
      </c>
      <c r="I28">
        <v>43940</v>
      </c>
      <c r="J28">
        <v>29762</v>
      </c>
      <c r="K28">
        <v>98608</v>
      </c>
      <c r="L28">
        <v>8485</v>
      </c>
      <c r="M28">
        <v>7784</v>
      </c>
      <c r="N28">
        <v>114877</v>
      </c>
      <c r="O28">
        <v>1378524</v>
      </c>
      <c r="P28">
        <v>7.8938828492617227E-2</v>
      </c>
      <c r="Q28">
        <v>12</v>
      </c>
      <c r="R28">
        <v>80</v>
      </c>
      <c r="S28">
        <v>2</v>
      </c>
      <c r="T28">
        <v>53</v>
      </c>
      <c r="U28">
        <v>2</v>
      </c>
      <c r="V28">
        <v>95</v>
      </c>
      <c r="W28">
        <v>0</v>
      </c>
      <c r="X28" t="str">
        <v>No</v>
      </c>
      <c r="Y28" t="str">
        <v>No</v>
      </c>
      <c r="Z28" t="str">
        <v>Manoj P</v>
      </c>
    </row>
    <row r="29" spans="1:26" x14ac:dyDescent="0.35">
      <c r="C29" s="5" t="str">
        <v>E1009</v>
      </c>
      <c r="D29" t="str">
        <v>Anitha V</v>
      </c>
      <c r="E29" t="str">
        <v>Male</v>
      </c>
      <c r="F29" t="str">
        <v>Operations</v>
      </c>
      <c r="G29" t="str">
        <v>Analyst</v>
      </c>
      <c r="H29" t="str">
        <v>Hyderabad</v>
      </c>
      <c r="I29">
        <v>43591</v>
      </c>
      <c r="J29">
        <v>38027</v>
      </c>
      <c r="K29">
        <v>65129</v>
      </c>
      <c r="L29">
        <v>5394</v>
      </c>
      <c r="M29">
        <v>11746</v>
      </c>
      <c r="N29">
        <v>82269</v>
      </c>
      <c r="O29">
        <v>987228</v>
      </c>
      <c r="P29">
        <v>0.18034976738472877</v>
      </c>
      <c r="Q29">
        <v>10</v>
      </c>
      <c r="R29">
        <v>92</v>
      </c>
      <c r="S29">
        <v>3</v>
      </c>
      <c r="T29">
        <v>16</v>
      </c>
      <c r="U29">
        <v>17</v>
      </c>
      <c r="V29">
        <v>71</v>
      </c>
      <c r="W29">
        <v>0</v>
      </c>
      <c r="X29" t="str">
        <v>No</v>
      </c>
      <c r="Y29" t="str">
        <v>No</v>
      </c>
      <c r="Z29" t="str">
        <v>Ravi Kumar</v>
      </c>
    </row>
    <row r="30" spans="1:26" x14ac:dyDescent="0.35">
      <c r="C30" s="5" t="str">
        <v>E1011</v>
      </c>
      <c r="D30" t="str">
        <v>Manoj P</v>
      </c>
      <c r="E30" t="str">
        <v>Male</v>
      </c>
      <c r="F30" t="str">
        <v>Finance</v>
      </c>
      <c r="G30" t="str">
        <v>Manager</v>
      </c>
      <c r="H30" t="str">
        <v>Chennai</v>
      </c>
      <c r="I30">
        <v>44239</v>
      </c>
      <c r="J30">
        <v>35266</v>
      </c>
      <c r="K30">
        <v>54478</v>
      </c>
      <c r="L30">
        <v>17638</v>
      </c>
      <c r="M30">
        <v>10341</v>
      </c>
      <c r="N30">
        <v>82457</v>
      </c>
      <c r="O30">
        <v>989484</v>
      </c>
      <c r="P30">
        <v>0.18981974374977054</v>
      </c>
      <c r="Q30">
        <v>11</v>
      </c>
      <c r="R30">
        <v>82</v>
      </c>
      <c r="S30">
        <v>3</v>
      </c>
      <c r="T30">
        <v>64</v>
      </c>
      <c r="U30">
        <v>7</v>
      </c>
      <c r="V30">
        <v>63</v>
      </c>
      <c r="W30">
        <v>0</v>
      </c>
      <c r="X30" t="str">
        <v>No</v>
      </c>
      <c r="Y30" t="str">
        <v>No</v>
      </c>
      <c r="Z30" t="str">
        <v>Manoj P</v>
      </c>
    </row>
    <row r="31" spans="1:26" x14ac:dyDescent="0.35">
      <c r="C31" s="5" t="str">
        <v>E1013</v>
      </c>
      <c r="D31" t="str">
        <v>Rahul P</v>
      </c>
      <c r="E31" t="str">
        <v>Male</v>
      </c>
      <c r="F31" t="str">
        <v>Sales</v>
      </c>
      <c r="G31" t="str">
        <v>Team Lead</v>
      </c>
      <c r="H31" t="str">
        <v>Mumbai</v>
      </c>
      <c r="I31">
        <v>43636</v>
      </c>
      <c r="J31">
        <v>29683</v>
      </c>
      <c r="K31">
        <v>58666</v>
      </c>
      <c r="L31">
        <v>14694</v>
      </c>
      <c r="M31">
        <v>14644</v>
      </c>
      <c r="N31">
        <v>88004</v>
      </c>
      <c r="O31">
        <v>1056048</v>
      </c>
      <c r="P31">
        <v>0.24961647291446493</v>
      </c>
      <c r="Q31">
        <v>19</v>
      </c>
      <c r="R31">
        <v>95</v>
      </c>
      <c r="S31">
        <v>3</v>
      </c>
      <c r="T31">
        <v>50</v>
      </c>
      <c r="U31">
        <v>7</v>
      </c>
      <c r="V31">
        <v>82</v>
      </c>
      <c r="W31">
        <v>0</v>
      </c>
      <c r="X31" t="str">
        <v>No</v>
      </c>
      <c r="Y31" t="str">
        <v>No</v>
      </c>
      <c r="Z31" t="str">
        <v>Karthik V</v>
      </c>
    </row>
    <row r="32" spans="1:26" x14ac:dyDescent="0.35">
      <c r="C32" s="5" t="str">
        <v>E1014</v>
      </c>
      <c r="D32" t="str">
        <v>Arjun P</v>
      </c>
      <c r="E32" t="str">
        <v>Female</v>
      </c>
      <c r="F32" t="str">
        <v>Finance</v>
      </c>
      <c r="G32" t="str">
        <v>Associate</v>
      </c>
      <c r="H32" t="str">
        <v>Hyderabad</v>
      </c>
      <c r="I32">
        <v>42506</v>
      </c>
      <c r="J32">
        <v>30080</v>
      </c>
      <c r="K32">
        <v>72270</v>
      </c>
      <c r="L32">
        <v>17117</v>
      </c>
      <c r="M32">
        <v>8549</v>
      </c>
      <c r="N32">
        <v>97936</v>
      </c>
      <c r="O32">
        <v>1175232</v>
      </c>
      <c r="P32">
        <v>0.11829251418292515</v>
      </c>
      <c r="Q32">
        <v>12</v>
      </c>
      <c r="R32">
        <v>93</v>
      </c>
      <c r="S32">
        <v>3</v>
      </c>
      <c r="T32">
        <v>45</v>
      </c>
      <c r="U32">
        <v>6</v>
      </c>
      <c r="V32">
        <v>99</v>
      </c>
      <c r="W32">
        <v>0</v>
      </c>
      <c r="X32" t="str">
        <v>No</v>
      </c>
      <c r="Y32" t="str">
        <v>No</v>
      </c>
      <c r="Z32" t="str">
        <v>Manoj P</v>
      </c>
    </row>
    <row r="33" spans="3:26" x14ac:dyDescent="0.35">
      <c r="C33" s="5" t="str">
        <v>E1016</v>
      </c>
      <c r="D33" t="str">
        <v>Ravi K</v>
      </c>
      <c r="E33" t="str">
        <v>Female</v>
      </c>
      <c r="F33" t="str">
        <v>IT</v>
      </c>
      <c r="G33" t="str">
        <v>Manager</v>
      </c>
      <c r="H33" t="str">
        <v>Bengaluru</v>
      </c>
      <c r="I33">
        <v>43227</v>
      </c>
      <c r="J33">
        <v>30981</v>
      </c>
      <c r="K33">
        <v>86020</v>
      </c>
      <c r="L33">
        <v>12396</v>
      </c>
      <c r="M33">
        <v>13543</v>
      </c>
      <c r="N33">
        <v>111959</v>
      </c>
      <c r="O33">
        <v>1343508</v>
      </c>
      <c r="P33">
        <v>0.15744013020227854</v>
      </c>
      <c r="Q33">
        <v>11</v>
      </c>
      <c r="R33">
        <v>87</v>
      </c>
      <c r="S33">
        <v>4</v>
      </c>
      <c r="T33">
        <v>34</v>
      </c>
      <c r="U33">
        <v>14</v>
      </c>
      <c r="V33">
        <v>86</v>
      </c>
      <c r="W33">
        <v>0</v>
      </c>
      <c r="X33" t="str">
        <v>No</v>
      </c>
      <c r="Y33" t="str">
        <v>No</v>
      </c>
      <c r="Z33" t="str">
        <v>Manoj P</v>
      </c>
    </row>
    <row r="34" spans="3:26" x14ac:dyDescent="0.35">
      <c r="C34" s="5" t="str">
        <v>E1018</v>
      </c>
      <c r="D34" t="str">
        <v>Rahul S</v>
      </c>
      <c r="E34" t="str">
        <v>Female</v>
      </c>
      <c r="F34" t="str">
        <v>HR</v>
      </c>
      <c r="G34" t="str">
        <v>Manager</v>
      </c>
      <c r="H34" t="str">
        <v>Chennai</v>
      </c>
      <c r="I34">
        <v>43903</v>
      </c>
      <c r="J34">
        <v>37480</v>
      </c>
      <c r="K34">
        <v>62841</v>
      </c>
      <c r="L34">
        <v>14562</v>
      </c>
      <c r="M34">
        <v>10504</v>
      </c>
      <c r="N34">
        <v>87907</v>
      </c>
      <c r="O34">
        <v>1054884</v>
      </c>
      <c r="P34">
        <v>0.16715201858659157</v>
      </c>
      <c r="Q34">
        <v>1</v>
      </c>
      <c r="R34">
        <v>90</v>
      </c>
      <c r="S34">
        <v>4</v>
      </c>
      <c r="T34">
        <v>29</v>
      </c>
      <c r="U34">
        <v>22</v>
      </c>
      <c r="V34">
        <v>54</v>
      </c>
      <c r="W34">
        <v>0</v>
      </c>
      <c r="X34" t="str">
        <v>No</v>
      </c>
      <c r="Y34" t="str">
        <v>No</v>
      </c>
      <c r="Z34" t="str">
        <v>Manoj P</v>
      </c>
    </row>
    <row r="35" spans="3:26" x14ac:dyDescent="0.35">
      <c r="C35" s="5" t="str">
        <v>E1023</v>
      </c>
      <c r="D35" t="str">
        <v>Anitha M</v>
      </c>
      <c r="E35" t="str">
        <v>Male</v>
      </c>
      <c r="F35" t="str">
        <v>Marketing</v>
      </c>
      <c r="G35" t="str">
        <v>Associate</v>
      </c>
      <c r="H35" t="str">
        <v>Bengaluru</v>
      </c>
      <c r="I35">
        <v>43605</v>
      </c>
      <c r="J35">
        <v>32316</v>
      </c>
      <c r="K35">
        <v>76129</v>
      </c>
      <c r="L35">
        <v>4262</v>
      </c>
      <c r="M35">
        <v>9141</v>
      </c>
      <c r="N35">
        <v>89532</v>
      </c>
      <c r="O35">
        <v>1074384</v>
      </c>
      <c r="P35">
        <v>0.12007250850530021</v>
      </c>
      <c r="Q35">
        <v>2</v>
      </c>
      <c r="R35">
        <v>89</v>
      </c>
      <c r="S35">
        <v>2</v>
      </c>
      <c r="T35">
        <v>60</v>
      </c>
      <c r="U35">
        <v>23</v>
      </c>
      <c r="V35">
        <v>96</v>
      </c>
      <c r="W35">
        <v>0</v>
      </c>
      <c r="X35" t="str">
        <v>Yes</v>
      </c>
      <c r="Y35" t="str">
        <v>No</v>
      </c>
      <c r="Z35" t="str">
        <v>Lakshmi S</v>
      </c>
    </row>
    <row r="36" spans="3:26" x14ac:dyDescent="0.35">
      <c r="C36" s="5" t="str">
        <v>E1024</v>
      </c>
      <c r="D36" t="str">
        <v>Divya M</v>
      </c>
      <c r="E36" t="str">
        <v>Female</v>
      </c>
      <c r="F36" t="str">
        <v>Marketing</v>
      </c>
      <c r="G36" t="str">
        <v>Manager</v>
      </c>
      <c r="H36" t="str">
        <v>Chennai</v>
      </c>
      <c r="I36">
        <v>43827</v>
      </c>
      <c r="J36">
        <v>37754</v>
      </c>
      <c r="K36">
        <v>71269</v>
      </c>
      <c r="L36">
        <v>7730</v>
      </c>
      <c r="M36">
        <v>6943</v>
      </c>
      <c r="N36">
        <v>85942</v>
      </c>
      <c r="O36">
        <v>1031304</v>
      </c>
      <c r="P36">
        <v>9.7419635465630219E-2</v>
      </c>
      <c r="Q36">
        <v>7</v>
      </c>
      <c r="R36">
        <v>92</v>
      </c>
      <c r="S36">
        <v>1</v>
      </c>
      <c r="T36">
        <v>13</v>
      </c>
      <c r="U36">
        <v>16</v>
      </c>
      <c r="V36">
        <v>98</v>
      </c>
      <c r="W36">
        <v>0</v>
      </c>
      <c r="X36" t="str">
        <v>Yes</v>
      </c>
      <c r="Y36" t="str">
        <v>No</v>
      </c>
      <c r="Z36" t="str">
        <v>Karthik V</v>
      </c>
    </row>
    <row r="37" spans="3:26" x14ac:dyDescent="0.35">
      <c r="C37" s="5" t="str">
        <v>E1027</v>
      </c>
      <c r="D37" t="str">
        <v>Pooja S</v>
      </c>
      <c r="E37" t="str">
        <v>Male</v>
      </c>
      <c r="F37" t="str">
        <v>IT</v>
      </c>
      <c r="G37" t="str">
        <v>Associate</v>
      </c>
      <c r="H37" t="str">
        <v>Chennai</v>
      </c>
      <c r="I37">
        <v>43199</v>
      </c>
      <c r="J37">
        <v>34584</v>
      </c>
      <c r="K37">
        <v>77522</v>
      </c>
      <c r="L37">
        <v>8661</v>
      </c>
      <c r="M37">
        <v>13892</v>
      </c>
      <c r="N37">
        <v>100075</v>
      </c>
      <c r="O37">
        <v>1200900</v>
      </c>
      <c r="P37">
        <v>0.17920074301488609</v>
      </c>
      <c r="Q37">
        <v>8</v>
      </c>
      <c r="R37">
        <v>81</v>
      </c>
      <c r="S37">
        <v>1</v>
      </c>
      <c r="T37">
        <v>70</v>
      </c>
      <c r="U37">
        <v>2</v>
      </c>
      <c r="V37">
        <v>57</v>
      </c>
      <c r="W37">
        <v>0</v>
      </c>
      <c r="X37" t="str">
        <v>No</v>
      </c>
      <c r="Y37" t="str">
        <v>No</v>
      </c>
      <c r="Z37" t="str">
        <v>Manoj P</v>
      </c>
    </row>
    <row r="38" spans="3:26" x14ac:dyDescent="0.35">
      <c r="C38" s="5" t="str">
        <v>E1028</v>
      </c>
      <c r="D38" t="str">
        <v>Anitha R</v>
      </c>
      <c r="E38" t="str">
        <v>Male</v>
      </c>
      <c r="F38" t="str">
        <v>Marketing</v>
      </c>
      <c r="G38" t="str">
        <v>Associate</v>
      </c>
      <c r="H38" t="str">
        <v>Hyderabad</v>
      </c>
      <c r="I38">
        <v>43083</v>
      </c>
      <c r="J38">
        <v>36116</v>
      </c>
      <c r="K38">
        <v>97768</v>
      </c>
      <c r="L38">
        <v>9025</v>
      </c>
      <c r="M38">
        <v>7072</v>
      </c>
      <c r="N38">
        <v>113865</v>
      </c>
      <c r="O38">
        <v>1366380</v>
      </c>
      <c r="P38">
        <v>7.2334506177890515E-2</v>
      </c>
      <c r="Q38">
        <v>5</v>
      </c>
      <c r="R38">
        <v>93</v>
      </c>
      <c r="S38">
        <v>1</v>
      </c>
      <c r="T38">
        <v>77</v>
      </c>
      <c r="U38">
        <v>9</v>
      </c>
      <c r="V38">
        <v>72</v>
      </c>
      <c r="W38">
        <v>0</v>
      </c>
      <c r="X38" t="str">
        <v>No</v>
      </c>
      <c r="Y38" t="str">
        <v>No</v>
      </c>
      <c r="Z38" t="str">
        <v>Priya M</v>
      </c>
    </row>
    <row r="39" spans="3:26" x14ac:dyDescent="0.35">
      <c r="C39" s="5" t="str">
        <v>E1029</v>
      </c>
      <c r="D39" t="str">
        <v>Arjun S</v>
      </c>
      <c r="E39" t="str">
        <v>Male</v>
      </c>
      <c r="F39" t="str">
        <v>Operations</v>
      </c>
      <c r="G39" t="str">
        <v>Executive</v>
      </c>
      <c r="H39" t="str">
        <v>Chennai</v>
      </c>
      <c r="I39">
        <v>43555</v>
      </c>
      <c r="J39">
        <v>32230</v>
      </c>
      <c r="K39">
        <v>67682</v>
      </c>
      <c r="L39">
        <v>10286</v>
      </c>
      <c r="M39">
        <v>2714</v>
      </c>
      <c r="N39">
        <v>80682</v>
      </c>
      <c r="O39">
        <v>968184</v>
      </c>
      <c r="P39">
        <v>4.0099287846103837E-2</v>
      </c>
      <c r="Q39">
        <v>20</v>
      </c>
      <c r="R39">
        <v>97</v>
      </c>
      <c r="S39">
        <v>2</v>
      </c>
      <c r="T39">
        <v>51</v>
      </c>
      <c r="U39">
        <v>20</v>
      </c>
      <c r="V39">
        <v>93</v>
      </c>
      <c r="W39">
        <v>0</v>
      </c>
      <c r="X39" t="str">
        <v>Yes</v>
      </c>
      <c r="Y39" t="str">
        <v>No</v>
      </c>
      <c r="Z39" t="str">
        <v>Lakshmi S</v>
      </c>
    </row>
    <row r="40" spans="3:26" x14ac:dyDescent="0.35">
      <c r="C40" s="5" t="str">
        <v>E1031</v>
      </c>
      <c r="D40" t="str">
        <v>Asha K</v>
      </c>
      <c r="E40" t="str">
        <v>Female</v>
      </c>
      <c r="F40" t="str">
        <v>IT</v>
      </c>
      <c r="G40" t="str">
        <v>Analyst</v>
      </c>
      <c r="H40" t="str">
        <v>Madurai</v>
      </c>
      <c r="I40">
        <v>42237</v>
      </c>
      <c r="J40">
        <v>33396</v>
      </c>
      <c r="K40">
        <v>72336</v>
      </c>
      <c r="L40">
        <v>5131</v>
      </c>
      <c r="M40">
        <v>5129</v>
      </c>
      <c r="N40">
        <v>82596</v>
      </c>
      <c r="O40">
        <v>991152</v>
      </c>
      <c r="P40">
        <v>7.0905220084052201E-2</v>
      </c>
      <c r="Q40">
        <v>14</v>
      </c>
      <c r="R40">
        <v>82</v>
      </c>
      <c r="S40">
        <v>5</v>
      </c>
      <c r="T40">
        <v>33</v>
      </c>
      <c r="U40">
        <v>16</v>
      </c>
      <c r="V40">
        <v>100</v>
      </c>
      <c r="W40">
        <v>0</v>
      </c>
      <c r="X40" t="str">
        <v>No</v>
      </c>
      <c r="Y40" t="str">
        <v>No</v>
      </c>
      <c r="Z40" t="str">
        <v>Ravi Kumar</v>
      </c>
    </row>
    <row r="41" spans="3:26" x14ac:dyDescent="0.35">
      <c r="C41" s="5" t="str">
        <v>E1034</v>
      </c>
      <c r="D41" t="str">
        <v>Karthik K</v>
      </c>
      <c r="E41" t="str">
        <v>Male</v>
      </c>
      <c r="F41" t="str">
        <v>Marketing</v>
      </c>
      <c r="G41" t="str">
        <v>Team Lead</v>
      </c>
      <c r="H41" t="str">
        <v>Madurai</v>
      </c>
      <c r="I41">
        <v>44333</v>
      </c>
      <c r="J41">
        <v>30098</v>
      </c>
      <c r="K41">
        <v>96250</v>
      </c>
      <c r="L41">
        <v>14703</v>
      </c>
      <c r="M41">
        <v>4080</v>
      </c>
      <c r="N41">
        <v>115033</v>
      </c>
      <c r="O41">
        <v>1380396</v>
      </c>
      <c r="P41">
        <v>4.2389610389610387E-2</v>
      </c>
      <c r="Q41">
        <v>10</v>
      </c>
      <c r="R41">
        <v>89</v>
      </c>
      <c r="S41">
        <v>5</v>
      </c>
      <c r="T41">
        <v>70</v>
      </c>
      <c r="U41">
        <v>25</v>
      </c>
      <c r="V41">
        <v>92</v>
      </c>
      <c r="W41">
        <v>0</v>
      </c>
      <c r="X41" t="str">
        <v>No</v>
      </c>
      <c r="Y41" t="str">
        <v>No</v>
      </c>
      <c r="Z41" t="str">
        <v>Ravi Kumar</v>
      </c>
    </row>
    <row r="42" spans="3:26" x14ac:dyDescent="0.35">
      <c r="C42" s="5" t="str">
        <v>E1035</v>
      </c>
      <c r="D42" t="str">
        <v>Rahul S</v>
      </c>
      <c r="E42" t="str">
        <v>Female</v>
      </c>
      <c r="F42" t="str">
        <v>HR</v>
      </c>
      <c r="G42" t="str">
        <v>Team Lead</v>
      </c>
      <c r="H42" t="str">
        <v>Coimbatore</v>
      </c>
      <c r="I42">
        <v>44042</v>
      </c>
      <c r="J42">
        <v>29957</v>
      </c>
      <c r="K42">
        <v>80407</v>
      </c>
      <c r="L42">
        <v>4075</v>
      </c>
      <c r="M42">
        <v>14093</v>
      </c>
      <c r="N42">
        <v>98575</v>
      </c>
      <c r="O42">
        <v>1182900</v>
      </c>
      <c r="P42">
        <v>0.17527080975536954</v>
      </c>
      <c r="Q42">
        <v>5</v>
      </c>
      <c r="R42">
        <v>85</v>
      </c>
      <c r="S42">
        <v>1</v>
      </c>
      <c r="T42">
        <v>70</v>
      </c>
      <c r="U42">
        <v>7</v>
      </c>
      <c r="V42">
        <v>54</v>
      </c>
      <c r="W42">
        <v>0</v>
      </c>
      <c r="X42" t="str">
        <v>No</v>
      </c>
      <c r="Y42" t="str">
        <v>No</v>
      </c>
      <c r="Z42" t="str">
        <v>Karthik V</v>
      </c>
    </row>
    <row r="43" spans="3:26" x14ac:dyDescent="0.35">
      <c r="C43" s="5" t="str">
        <v>E1037</v>
      </c>
      <c r="D43" t="str">
        <v>Manoj K</v>
      </c>
      <c r="E43" t="str">
        <v>Male</v>
      </c>
      <c r="F43" t="str">
        <v>Sales</v>
      </c>
      <c r="G43" t="str">
        <v>Associate</v>
      </c>
      <c r="H43" t="str">
        <v>Bengaluru</v>
      </c>
      <c r="I43">
        <v>44525</v>
      </c>
      <c r="J43">
        <v>35517</v>
      </c>
      <c r="K43">
        <v>68746</v>
      </c>
      <c r="L43">
        <v>13844</v>
      </c>
      <c r="M43">
        <v>3989</v>
      </c>
      <c r="N43">
        <v>86579</v>
      </c>
      <c r="O43">
        <v>1038948</v>
      </c>
      <c r="P43">
        <v>5.8025194193116691E-2</v>
      </c>
      <c r="Q43">
        <v>13</v>
      </c>
      <c r="R43">
        <v>93</v>
      </c>
      <c r="S43">
        <v>1</v>
      </c>
      <c r="T43">
        <v>11</v>
      </c>
      <c r="U43">
        <v>1</v>
      </c>
      <c r="V43">
        <v>63</v>
      </c>
      <c r="W43">
        <v>0</v>
      </c>
      <c r="X43" t="str">
        <v>No</v>
      </c>
      <c r="Y43" t="str">
        <v>No</v>
      </c>
      <c r="Z43" t="str">
        <v>Priya M</v>
      </c>
    </row>
    <row r="44" spans="3:26" x14ac:dyDescent="0.35">
      <c r="C44" s="5" t="str">
        <v>E1038</v>
      </c>
      <c r="D44" t="str">
        <v>Rahul V</v>
      </c>
      <c r="E44" t="str">
        <v>Female</v>
      </c>
      <c r="F44" t="str">
        <v>Finance</v>
      </c>
      <c r="G44" t="str">
        <v>Manager</v>
      </c>
      <c r="H44" t="str">
        <v>Bengaluru</v>
      </c>
      <c r="I44">
        <v>44895</v>
      </c>
      <c r="J44">
        <v>33533</v>
      </c>
      <c r="K44">
        <v>62181</v>
      </c>
      <c r="L44">
        <v>9733</v>
      </c>
      <c r="M44">
        <v>14837</v>
      </c>
      <c r="N44">
        <v>86751</v>
      </c>
      <c r="O44">
        <v>1041012</v>
      </c>
      <c r="P44">
        <v>0.23860986474968238</v>
      </c>
      <c r="Q44">
        <v>6</v>
      </c>
      <c r="R44">
        <v>97</v>
      </c>
      <c r="S44">
        <v>5</v>
      </c>
      <c r="T44">
        <v>70</v>
      </c>
      <c r="U44">
        <v>2</v>
      </c>
      <c r="V44">
        <v>50</v>
      </c>
      <c r="W44">
        <v>0</v>
      </c>
      <c r="X44" t="str">
        <v>No</v>
      </c>
      <c r="Y44" t="str">
        <v>Yes</v>
      </c>
      <c r="Z44" t="str">
        <v>Karthik V</v>
      </c>
    </row>
    <row r="45" spans="3:26" x14ac:dyDescent="0.35">
      <c r="C45" s="5" t="str">
        <v>E1040</v>
      </c>
      <c r="D45" t="str">
        <v>Ravi R</v>
      </c>
      <c r="E45" t="str">
        <v>Male</v>
      </c>
      <c r="F45" t="str">
        <v>IT</v>
      </c>
      <c r="G45" t="str">
        <v>Executive</v>
      </c>
      <c r="H45" t="str">
        <v>Chennai</v>
      </c>
      <c r="I45">
        <v>44404</v>
      </c>
      <c r="J45">
        <v>30807</v>
      </c>
      <c r="K45">
        <v>89334</v>
      </c>
      <c r="L45">
        <v>16143</v>
      </c>
      <c r="M45">
        <v>7102</v>
      </c>
      <c r="N45">
        <v>112579</v>
      </c>
      <c r="O45">
        <v>1350948</v>
      </c>
      <c r="P45">
        <v>7.9499406720845364E-2</v>
      </c>
      <c r="Q45">
        <v>14</v>
      </c>
      <c r="R45">
        <v>85</v>
      </c>
      <c r="S45">
        <v>1</v>
      </c>
      <c r="T45">
        <v>79</v>
      </c>
      <c r="U45">
        <v>2</v>
      </c>
      <c r="V45">
        <v>64</v>
      </c>
      <c r="W45">
        <v>0</v>
      </c>
      <c r="X45" t="str">
        <v>No</v>
      </c>
      <c r="Y45" t="str">
        <v>No</v>
      </c>
      <c r="Z45" t="str">
        <v>Divya R</v>
      </c>
    </row>
    <row r="46" spans="3:26" x14ac:dyDescent="0.35">
      <c r="C46" s="5" t="str">
        <v>E1041</v>
      </c>
      <c r="D46" t="str">
        <v>Rahul P</v>
      </c>
      <c r="E46" t="str">
        <v>Male</v>
      </c>
      <c r="F46" t="str">
        <v>Sales</v>
      </c>
      <c r="G46" t="str">
        <v>Manager</v>
      </c>
      <c r="H46" t="str">
        <v>Coimbatore</v>
      </c>
      <c r="I46">
        <v>45607</v>
      </c>
      <c r="J46">
        <v>37826</v>
      </c>
      <c r="K46">
        <v>90212</v>
      </c>
      <c r="L46">
        <v>8492</v>
      </c>
      <c r="M46">
        <v>6165</v>
      </c>
      <c r="N46">
        <v>104869</v>
      </c>
      <c r="O46">
        <v>1258428</v>
      </c>
      <c r="P46">
        <v>6.8339023633219531E-2</v>
      </c>
      <c r="Q46">
        <v>20</v>
      </c>
      <c r="R46">
        <v>100</v>
      </c>
      <c r="S46">
        <v>4</v>
      </c>
      <c r="T46">
        <v>34</v>
      </c>
      <c r="U46">
        <v>10</v>
      </c>
      <c r="V46">
        <v>93</v>
      </c>
      <c r="W46">
        <v>0</v>
      </c>
      <c r="X46" t="str">
        <v>No</v>
      </c>
      <c r="Y46" t="str">
        <v>Yes</v>
      </c>
      <c r="Z46" t="str">
        <v>Lakshmi S</v>
      </c>
    </row>
    <row r="47" spans="3:26" x14ac:dyDescent="0.35">
      <c r="C47" s="5" t="str">
        <v>E1042</v>
      </c>
      <c r="D47" t="str">
        <v>Anitha K</v>
      </c>
      <c r="E47" t="str">
        <v>Male</v>
      </c>
      <c r="F47" t="str">
        <v>Operations</v>
      </c>
      <c r="G47" t="str">
        <v>Manager</v>
      </c>
      <c r="H47" t="str">
        <v>Mumbai</v>
      </c>
      <c r="I47">
        <v>45174</v>
      </c>
      <c r="J47">
        <v>31575</v>
      </c>
      <c r="K47">
        <v>73367</v>
      </c>
      <c r="L47">
        <v>3663</v>
      </c>
      <c r="M47">
        <v>3298</v>
      </c>
      <c r="N47">
        <v>80328</v>
      </c>
      <c r="O47">
        <v>963936</v>
      </c>
      <c r="P47">
        <v>4.4952090176782478E-2</v>
      </c>
      <c r="Q47">
        <v>5</v>
      </c>
      <c r="R47">
        <v>100</v>
      </c>
      <c r="S47">
        <v>2</v>
      </c>
      <c r="T47">
        <v>51</v>
      </c>
      <c r="U47">
        <v>23</v>
      </c>
      <c r="V47">
        <v>61</v>
      </c>
      <c r="W47">
        <v>0</v>
      </c>
      <c r="X47" t="str">
        <v>No</v>
      </c>
      <c r="Y47" t="str">
        <v>No</v>
      </c>
      <c r="Z47" t="str">
        <v>Lakshmi S</v>
      </c>
    </row>
    <row r="48" spans="3:26" x14ac:dyDescent="0.35">
      <c r="C48" s="5" t="str">
        <v>E1044</v>
      </c>
      <c r="D48" t="str">
        <v>Ravi K</v>
      </c>
      <c r="E48" t="str">
        <v>Female</v>
      </c>
      <c r="F48" t="str">
        <v>Sales</v>
      </c>
      <c r="G48" t="str">
        <v>Associate</v>
      </c>
      <c r="H48" t="str">
        <v>Chennai</v>
      </c>
      <c r="I48">
        <v>43345</v>
      </c>
      <c r="J48">
        <v>36485</v>
      </c>
      <c r="K48">
        <v>85796</v>
      </c>
      <c r="L48">
        <v>3237</v>
      </c>
      <c r="M48">
        <v>2829</v>
      </c>
      <c r="N48">
        <v>91862</v>
      </c>
      <c r="O48">
        <v>1102344</v>
      </c>
      <c r="P48">
        <v>3.2973565201174879E-2</v>
      </c>
      <c r="Q48">
        <v>2</v>
      </c>
      <c r="R48">
        <v>91</v>
      </c>
      <c r="S48">
        <v>3</v>
      </c>
      <c r="T48">
        <v>41</v>
      </c>
      <c r="U48">
        <v>24</v>
      </c>
      <c r="V48">
        <v>65</v>
      </c>
      <c r="W48">
        <v>0</v>
      </c>
      <c r="X48" t="str">
        <v>No</v>
      </c>
      <c r="Y48" t="str">
        <v>No</v>
      </c>
      <c r="Z48" t="str">
        <v>Priya M</v>
      </c>
    </row>
    <row r="49" spans="3:26" x14ac:dyDescent="0.35">
      <c r="C49" s="5" t="str">
        <v>E1045</v>
      </c>
      <c r="D49" t="str">
        <v>Keerthana M</v>
      </c>
      <c r="E49" t="str">
        <v>Female</v>
      </c>
      <c r="F49" t="str">
        <v>Operations</v>
      </c>
      <c r="G49" t="str">
        <v>Senior Analyst</v>
      </c>
      <c r="H49" t="str">
        <v>Chennai</v>
      </c>
      <c r="I49">
        <v>42761</v>
      </c>
      <c r="J49">
        <v>31296</v>
      </c>
      <c r="K49">
        <v>83823</v>
      </c>
      <c r="L49">
        <v>6315</v>
      </c>
      <c r="M49">
        <v>14364</v>
      </c>
      <c r="N49">
        <v>104502</v>
      </c>
      <c r="O49">
        <v>1254024</v>
      </c>
      <c r="P49">
        <v>0.17136108228051966</v>
      </c>
      <c r="Q49">
        <v>16</v>
      </c>
      <c r="R49">
        <v>93</v>
      </c>
      <c r="S49">
        <v>1</v>
      </c>
      <c r="T49">
        <v>44</v>
      </c>
      <c r="U49">
        <v>20</v>
      </c>
      <c r="V49">
        <v>58</v>
      </c>
      <c r="W49">
        <v>0</v>
      </c>
      <c r="X49" t="str">
        <v>No</v>
      </c>
      <c r="Y49" t="str">
        <v>No</v>
      </c>
      <c r="Z49" t="str">
        <v>Manoj P</v>
      </c>
    </row>
    <row r="50" spans="3:26" x14ac:dyDescent="0.35">
      <c r="C50" s="5" t="str">
        <v>E1046</v>
      </c>
      <c r="D50" t="str">
        <v>Keerthana S</v>
      </c>
      <c r="E50" t="str">
        <v>Male</v>
      </c>
      <c r="F50" t="str">
        <v>Finance</v>
      </c>
      <c r="G50" t="str">
        <v>Senior Analyst</v>
      </c>
      <c r="H50" t="str">
        <v>Chennai</v>
      </c>
      <c r="I50">
        <v>42488</v>
      </c>
      <c r="J50">
        <v>31326</v>
      </c>
      <c r="K50">
        <v>92776</v>
      </c>
      <c r="L50">
        <v>3164</v>
      </c>
      <c r="M50">
        <v>10829</v>
      </c>
      <c r="N50">
        <v>106769</v>
      </c>
      <c r="O50">
        <v>1281228</v>
      </c>
      <c r="P50">
        <v>0.11672199706820729</v>
      </c>
      <c r="Q50">
        <v>16</v>
      </c>
      <c r="R50">
        <v>96</v>
      </c>
      <c r="S50">
        <v>4</v>
      </c>
      <c r="T50">
        <v>51</v>
      </c>
      <c r="U50">
        <v>22</v>
      </c>
      <c r="V50">
        <v>81</v>
      </c>
      <c r="W50">
        <v>0</v>
      </c>
      <c r="X50" t="str">
        <v>Yes</v>
      </c>
      <c r="Y50" t="str">
        <v>Yes</v>
      </c>
      <c r="Z50" t="str">
        <v>Lakshmi S</v>
      </c>
    </row>
    <row r="51" spans="3:26" x14ac:dyDescent="0.35">
      <c r="C51" s="5" t="str">
        <v>E1048</v>
      </c>
      <c r="D51" t="str">
        <v>Divya S</v>
      </c>
      <c r="E51" t="str">
        <v>Male</v>
      </c>
      <c r="F51" t="str">
        <v>HR</v>
      </c>
      <c r="G51" t="str">
        <v>Analyst</v>
      </c>
      <c r="H51" t="str">
        <v>Chennai</v>
      </c>
      <c r="I51">
        <v>43734</v>
      </c>
      <c r="J51">
        <v>36569</v>
      </c>
      <c r="K51">
        <v>82248</v>
      </c>
      <c r="L51">
        <v>10329</v>
      </c>
      <c r="M51">
        <v>12708</v>
      </c>
      <c r="N51">
        <v>105285</v>
      </c>
      <c r="O51">
        <v>1263420</v>
      </c>
      <c r="P51">
        <v>0.15450831631164283</v>
      </c>
      <c r="Q51">
        <v>2</v>
      </c>
      <c r="R51">
        <v>93</v>
      </c>
      <c r="S51">
        <v>1</v>
      </c>
      <c r="T51">
        <v>12</v>
      </c>
      <c r="U51">
        <v>9</v>
      </c>
      <c r="V51">
        <v>82</v>
      </c>
      <c r="W51">
        <v>0</v>
      </c>
      <c r="X51" t="str">
        <v>No</v>
      </c>
      <c r="Y51" t="str">
        <v>No</v>
      </c>
      <c r="Z51" t="str">
        <v>Divya R</v>
      </c>
    </row>
    <row r="52" spans="3:26" x14ac:dyDescent="0.35">
      <c r="C52" s="5" t="str">
        <v>E1051</v>
      </c>
      <c r="D52" t="str">
        <v>Meena R</v>
      </c>
      <c r="E52" t="str">
        <v>Male</v>
      </c>
      <c r="F52" t="str">
        <v>Sales</v>
      </c>
      <c r="G52" t="str">
        <v>Team Lead</v>
      </c>
      <c r="H52" t="str">
        <v>Madurai</v>
      </c>
      <c r="I52">
        <v>43954</v>
      </c>
      <c r="J52">
        <v>36543</v>
      </c>
      <c r="K52">
        <v>85718</v>
      </c>
      <c r="L52">
        <v>16229</v>
      </c>
      <c r="M52">
        <v>5418</v>
      </c>
      <c r="N52">
        <v>107365</v>
      </c>
      <c r="O52">
        <v>1288380</v>
      </c>
      <c r="P52">
        <v>6.320726101868919E-2</v>
      </c>
      <c r="Q52">
        <v>14</v>
      </c>
      <c r="R52">
        <v>89</v>
      </c>
      <c r="S52">
        <v>1</v>
      </c>
      <c r="T52">
        <v>50</v>
      </c>
      <c r="U52">
        <v>14</v>
      </c>
      <c r="V52">
        <v>56</v>
      </c>
      <c r="W52">
        <v>0</v>
      </c>
      <c r="X52" t="str">
        <v>No</v>
      </c>
      <c r="Y52" t="str">
        <v>No</v>
      </c>
      <c r="Z52" t="str">
        <v>Manoj P</v>
      </c>
    </row>
    <row r="53" spans="3:26" x14ac:dyDescent="0.35">
      <c r="C53" s="5" t="str">
        <v>E1052</v>
      </c>
      <c r="D53" t="str">
        <v>Kumar P</v>
      </c>
      <c r="E53" t="str">
        <v>Male</v>
      </c>
      <c r="F53" t="str">
        <v>HR</v>
      </c>
      <c r="G53" t="str">
        <v>Analyst</v>
      </c>
      <c r="H53" t="str">
        <v>Coimbatore</v>
      </c>
      <c r="I53">
        <v>44856</v>
      </c>
      <c r="J53">
        <v>36040</v>
      </c>
      <c r="K53">
        <v>91746</v>
      </c>
      <c r="L53">
        <v>10276</v>
      </c>
      <c r="M53">
        <v>12093</v>
      </c>
      <c r="N53">
        <v>114115</v>
      </c>
      <c r="O53">
        <v>1369380</v>
      </c>
      <c r="P53">
        <v>0.13180956117977896</v>
      </c>
      <c r="Q53">
        <v>20</v>
      </c>
      <c r="R53">
        <v>88</v>
      </c>
      <c r="S53">
        <v>5</v>
      </c>
      <c r="T53">
        <v>30</v>
      </c>
      <c r="U53">
        <v>24</v>
      </c>
      <c r="V53">
        <v>68</v>
      </c>
      <c r="W53">
        <v>0</v>
      </c>
      <c r="X53" t="str">
        <v>No</v>
      </c>
      <c r="Y53" t="str">
        <v>No</v>
      </c>
      <c r="Z53" t="str">
        <v>Karthik V</v>
      </c>
    </row>
    <row r="54" spans="3:26" x14ac:dyDescent="0.35">
      <c r="C54" s="5" t="str">
        <v>E1054</v>
      </c>
      <c r="D54" t="str">
        <v>Rahul R</v>
      </c>
      <c r="E54" t="str">
        <v>Female</v>
      </c>
      <c r="F54" t="str">
        <v>Finance</v>
      </c>
      <c r="G54" t="str">
        <v>Manager</v>
      </c>
      <c r="H54" t="str">
        <v>Coimbatore</v>
      </c>
      <c r="I54">
        <v>44516</v>
      </c>
      <c r="J54">
        <v>32435</v>
      </c>
      <c r="K54">
        <v>63889</v>
      </c>
      <c r="L54">
        <v>6133</v>
      </c>
      <c r="M54">
        <v>10635</v>
      </c>
      <c r="N54">
        <v>80657</v>
      </c>
      <c r="O54">
        <v>967884</v>
      </c>
      <c r="P54">
        <v>0.16646058006855641</v>
      </c>
      <c r="Q54">
        <v>20</v>
      </c>
      <c r="R54">
        <v>81</v>
      </c>
      <c r="S54">
        <v>3</v>
      </c>
      <c r="T54">
        <v>24</v>
      </c>
      <c r="U54">
        <v>19</v>
      </c>
      <c r="V54">
        <v>78</v>
      </c>
      <c r="W54">
        <v>0</v>
      </c>
      <c r="X54" t="str">
        <v>Yes</v>
      </c>
      <c r="Y54" t="str">
        <v>No</v>
      </c>
      <c r="Z54" t="str">
        <v>Lakshmi S</v>
      </c>
    </row>
    <row r="55" spans="3:26" x14ac:dyDescent="0.35">
      <c r="C55" s="5" t="str">
        <v>E1055</v>
      </c>
      <c r="D55" t="str">
        <v>Sneha S</v>
      </c>
      <c r="E55" t="str">
        <v>Male</v>
      </c>
      <c r="F55" t="str">
        <v>Finance</v>
      </c>
      <c r="G55" t="str">
        <v>Analyst</v>
      </c>
      <c r="H55" t="str">
        <v>Chennai</v>
      </c>
      <c r="I55">
        <v>43001</v>
      </c>
      <c r="J55">
        <v>29897</v>
      </c>
      <c r="K55">
        <v>70538</v>
      </c>
      <c r="L55">
        <v>6531</v>
      </c>
      <c r="M55">
        <v>2369</v>
      </c>
      <c r="N55">
        <v>79438</v>
      </c>
      <c r="O55">
        <v>953256</v>
      </c>
      <c r="P55">
        <v>3.3584734469364032E-2</v>
      </c>
      <c r="Q55">
        <v>6</v>
      </c>
      <c r="R55">
        <v>94</v>
      </c>
      <c r="S55">
        <v>4</v>
      </c>
      <c r="T55">
        <v>22</v>
      </c>
      <c r="U55">
        <v>3</v>
      </c>
      <c r="V55">
        <v>85</v>
      </c>
      <c r="W55">
        <v>0</v>
      </c>
      <c r="X55" t="str">
        <v>No</v>
      </c>
      <c r="Y55" t="str">
        <v>No</v>
      </c>
      <c r="Z55" t="str">
        <v>Ravi Kumar</v>
      </c>
    </row>
    <row r="56" spans="3:26" x14ac:dyDescent="0.35">
      <c r="C56" s="5" t="str">
        <v>E1057</v>
      </c>
      <c r="D56" t="str">
        <v>Asha M</v>
      </c>
      <c r="E56" t="str">
        <v>Female</v>
      </c>
      <c r="F56" t="str">
        <v>Sales</v>
      </c>
      <c r="G56" t="str">
        <v>Team Lead</v>
      </c>
      <c r="H56" t="str">
        <v>Mumbai</v>
      </c>
      <c r="I56">
        <v>44466</v>
      </c>
      <c r="J56">
        <v>31837</v>
      </c>
      <c r="K56">
        <v>99645</v>
      </c>
      <c r="L56">
        <v>5354</v>
      </c>
      <c r="M56">
        <v>4152</v>
      </c>
      <c r="N56">
        <v>109151</v>
      </c>
      <c r="O56">
        <v>1309812</v>
      </c>
      <c r="P56">
        <v>4.1667921119975915E-2</v>
      </c>
      <c r="Q56">
        <v>8</v>
      </c>
      <c r="R56">
        <v>89</v>
      </c>
      <c r="S56">
        <v>4</v>
      </c>
      <c r="T56">
        <v>64</v>
      </c>
      <c r="U56">
        <v>4</v>
      </c>
      <c r="V56">
        <v>93</v>
      </c>
      <c r="W56">
        <v>0</v>
      </c>
      <c r="X56" t="str">
        <v>No</v>
      </c>
      <c r="Y56" t="str">
        <v>No</v>
      </c>
      <c r="Z56" t="str">
        <v>Priya M</v>
      </c>
    </row>
    <row r="57" spans="3:26" x14ac:dyDescent="0.35">
      <c r="C57" s="5" t="str">
        <v>E1058</v>
      </c>
      <c r="D57" t="str">
        <v>Vijay R</v>
      </c>
      <c r="E57" t="str">
        <v>Male</v>
      </c>
      <c r="F57" t="str">
        <v>HR</v>
      </c>
      <c r="G57" t="str">
        <v>Team Lead</v>
      </c>
      <c r="H57" t="str">
        <v>Mumbai</v>
      </c>
      <c r="I57">
        <v>42491</v>
      </c>
      <c r="J57">
        <v>30768</v>
      </c>
      <c r="K57">
        <v>64668</v>
      </c>
      <c r="L57">
        <v>13291</v>
      </c>
      <c r="M57">
        <v>3903</v>
      </c>
      <c r="N57">
        <v>81862</v>
      </c>
      <c r="O57">
        <v>982344</v>
      </c>
      <c r="P57">
        <v>6.0354425681944705E-2</v>
      </c>
      <c r="Q57">
        <v>1</v>
      </c>
      <c r="R57">
        <v>95</v>
      </c>
      <c r="S57">
        <v>4</v>
      </c>
      <c r="T57">
        <v>29</v>
      </c>
      <c r="U57">
        <v>17</v>
      </c>
      <c r="V57">
        <v>90</v>
      </c>
      <c r="W57">
        <v>0</v>
      </c>
      <c r="X57" t="str">
        <v>No</v>
      </c>
      <c r="Y57" t="str">
        <v>Yes</v>
      </c>
      <c r="Z57" t="str">
        <v>Karthik V</v>
      </c>
    </row>
    <row r="58" spans="3:26" x14ac:dyDescent="0.35">
      <c r="C58" s="5" t="str">
        <v>E1060</v>
      </c>
      <c r="D58" t="str">
        <v>Karthik R</v>
      </c>
      <c r="E58" t="str">
        <v>Female</v>
      </c>
      <c r="F58" t="str">
        <v>Finance</v>
      </c>
      <c r="G58" t="str">
        <v>Manager</v>
      </c>
      <c r="H58" t="str">
        <v>Chennai</v>
      </c>
      <c r="I58">
        <v>43791</v>
      </c>
      <c r="J58">
        <v>38142</v>
      </c>
      <c r="K58">
        <v>65648</v>
      </c>
      <c r="L58">
        <v>4570</v>
      </c>
      <c r="M58">
        <v>13462</v>
      </c>
      <c r="N58">
        <v>83680</v>
      </c>
      <c r="O58">
        <v>1004160</v>
      </c>
      <c r="P58">
        <v>0.20506336826712163</v>
      </c>
      <c r="Q58">
        <v>15</v>
      </c>
      <c r="R58">
        <v>100</v>
      </c>
      <c r="S58">
        <v>1</v>
      </c>
      <c r="T58">
        <v>18</v>
      </c>
      <c r="U58">
        <v>8</v>
      </c>
      <c r="V58">
        <v>71</v>
      </c>
      <c r="W58">
        <v>0</v>
      </c>
      <c r="X58" t="str">
        <v>No</v>
      </c>
      <c r="Y58" t="str">
        <v>No</v>
      </c>
      <c r="Z58" t="str">
        <v>Divya R</v>
      </c>
    </row>
    <row r="59" spans="3:26" x14ac:dyDescent="0.35">
      <c r="C59" s="5" t="str">
        <v>E1063</v>
      </c>
      <c r="D59" t="str">
        <v>Pooja S</v>
      </c>
      <c r="E59" t="str">
        <v>Female</v>
      </c>
      <c r="F59" t="str">
        <v>HR</v>
      </c>
      <c r="G59" t="str">
        <v>Executive</v>
      </c>
      <c r="H59" t="str">
        <v>Hyderabad</v>
      </c>
      <c r="I59">
        <v>43505</v>
      </c>
      <c r="J59">
        <v>35700</v>
      </c>
      <c r="K59">
        <v>95068</v>
      </c>
      <c r="L59">
        <v>14509</v>
      </c>
      <c r="M59">
        <v>8091</v>
      </c>
      <c r="N59">
        <v>117668</v>
      </c>
      <c r="O59">
        <v>1412016</v>
      </c>
      <c r="P59">
        <v>8.5107501998569451E-2</v>
      </c>
      <c r="Q59">
        <v>1</v>
      </c>
      <c r="R59">
        <v>87</v>
      </c>
      <c r="S59">
        <v>4</v>
      </c>
      <c r="T59">
        <v>28</v>
      </c>
      <c r="U59">
        <v>21</v>
      </c>
      <c r="V59">
        <v>88</v>
      </c>
      <c r="W59">
        <v>0</v>
      </c>
      <c r="X59" t="str">
        <v>No</v>
      </c>
      <c r="Y59" t="str">
        <v>No</v>
      </c>
      <c r="Z59" t="str">
        <v>Lakshmi S</v>
      </c>
    </row>
    <row r="60" spans="3:26" x14ac:dyDescent="0.35">
      <c r="C60" s="5" t="str">
        <v>E1064</v>
      </c>
      <c r="D60" t="str">
        <v>Asha S</v>
      </c>
      <c r="E60" t="str">
        <v>Female</v>
      </c>
      <c r="F60" t="str">
        <v>Operations</v>
      </c>
      <c r="G60" t="str">
        <v>Manager</v>
      </c>
      <c r="H60" t="str">
        <v>Madurai</v>
      </c>
      <c r="I60">
        <v>44918</v>
      </c>
      <c r="J60">
        <v>29282</v>
      </c>
      <c r="K60">
        <v>86112</v>
      </c>
      <c r="L60">
        <v>8517</v>
      </c>
      <c r="M60">
        <v>8440</v>
      </c>
      <c r="N60">
        <v>103069</v>
      </c>
      <c r="O60">
        <v>1236828</v>
      </c>
      <c r="P60">
        <v>9.8011891490152353E-2</v>
      </c>
      <c r="Q60">
        <v>2</v>
      </c>
      <c r="R60">
        <v>87</v>
      </c>
      <c r="S60">
        <v>1</v>
      </c>
      <c r="T60">
        <v>33</v>
      </c>
      <c r="U60">
        <v>4</v>
      </c>
      <c r="V60">
        <v>67</v>
      </c>
      <c r="W60">
        <v>0</v>
      </c>
      <c r="X60" t="str">
        <v>No</v>
      </c>
      <c r="Y60" t="str">
        <v>No</v>
      </c>
      <c r="Z60" t="str">
        <v>Divya R</v>
      </c>
    </row>
    <row r="61" spans="3:26" x14ac:dyDescent="0.35">
      <c r="C61" s="5" t="str">
        <v>E1065</v>
      </c>
      <c r="D61" t="str">
        <v>Sneha V</v>
      </c>
      <c r="E61" t="str">
        <v>Male</v>
      </c>
      <c r="F61" t="str">
        <v>HR</v>
      </c>
      <c r="G61" t="str">
        <v>Manager</v>
      </c>
      <c r="H61" t="str">
        <v>Coimbatore</v>
      </c>
      <c r="I61">
        <v>42713</v>
      </c>
      <c r="J61">
        <v>33751</v>
      </c>
      <c r="K61">
        <v>77600</v>
      </c>
      <c r="L61">
        <v>11963</v>
      </c>
      <c r="M61">
        <v>8772</v>
      </c>
      <c r="N61">
        <v>98335</v>
      </c>
      <c r="O61">
        <v>1180020</v>
      </c>
      <c r="P61">
        <v>0.11304123711340207</v>
      </c>
      <c r="Q61">
        <v>2</v>
      </c>
      <c r="R61">
        <v>92</v>
      </c>
      <c r="S61">
        <v>5</v>
      </c>
      <c r="T61">
        <v>53</v>
      </c>
      <c r="U61">
        <v>8</v>
      </c>
      <c r="V61">
        <v>100</v>
      </c>
      <c r="W61">
        <v>0</v>
      </c>
      <c r="X61" t="str">
        <v>No</v>
      </c>
      <c r="Y61" t="str">
        <v>No</v>
      </c>
      <c r="Z61" t="str">
        <v>Lakshmi S</v>
      </c>
    </row>
    <row r="62" spans="3:26" x14ac:dyDescent="0.35">
      <c r="C62" s="5" t="str">
        <v>E1068</v>
      </c>
      <c r="D62" t="str">
        <v>Nisha S</v>
      </c>
      <c r="E62" t="str">
        <v>Male</v>
      </c>
      <c r="F62" t="str">
        <v>Finance</v>
      </c>
      <c r="G62" t="str">
        <v>Team Lead</v>
      </c>
      <c r="H62" t="str">
        <v>Mumbai</v>
      </c>
      <c r="I62">
        <v>44662</v>
      </c>
      <c r="J62">
        <v>32478</v>
      </c>
      <c r="K62">
        <v>92682</v>
      </c>
      <c r="L62">
        <v>13194</v>
      </c>
      <c r="M62">
        <v>4498</v>
      </c>
      <c r="N62">
        <v>110374</v>
      </c>
      <c r="O62">
        <v>1324488</v>
      </c>
      <c r="P62">
        <v>4.8531537946958414E-2</v>
      </c>
      <c r="Q62">
        <v>7</v>
      </c>
      <c r="R62">
        <v>81</v>
      </c>
      <c r="S62">
        <v>5</v>
      </c>
      <c r="T62">
        <v>24</v>
      </c>
      <c r="U62">
        <v>20</v>
      </c>
      <c r="V62">
        <v>69</v>
      </c>
      <c r="W62">
        <v>0</v>
      </c>
      <c r="X62" t="str">
        <v>No</v>
      </c>
      <c r="Y62" t="str">
        <v>No</v>
      </c>
      <c r="Z62" t="str">
        <v>Divya R</v>
      </c>
    </row>
    <row r="63" spans="3:26" x14ac:dyDescent="0.35">
      <c r="C63" s="5" t="str">
        <v>E1069</v>
      </c>
      <c r="D63" t="str">
        <v>Meena R</v>
      </c>
      <c r="E63" t="str">
        <v>Female</v>
      </c>
      <c r="F63" t="str">
        <v>Finance</v>
      </c>
      <c r="G63" t="str">
        <v>Senior Analyst</v>
      </c>
      <c r="H63" t="str">
        <v>Coimbatore</v>
      </c>
      <c r="I63">
        <v>42630</v>
      </c>
      <c r="J63">
        <v>30482</v>
      </c>
      <c r="K63">
        <v>73774</v>
      </c>
      <c r="L63">
        <v>13385</v>
      </c>
      <c r="M63">
        <v>4811</v>
      </c>
      <c r="N63">
        <v>91970</v>
      </c>
      <c r="O63">
        <v>1103640</v>
      </c>
      <c r="P63">
        <v>6.5212676552715051E-2</v>
      </c>
      <c r="Q63">
        <v>12</v>
      </c>
      <c r="R63">
        <v>83</v>
      </c>
      <c r="S63">
        <v>5</v>
      </c>
      <c r="T63">
        <v>56</v>
      </c>
      <c r="U63">
        <v>1</v>
      </c>
      <c r="V63">
        <v>95</v>
      </c>
      <c r="W63">
        <v>0</v>
      </c>
      <c r="X63" t="str">
        <v>Yes</v>
      </c>
      <c r="Y63" t="str">
        <v>No</v>
      </c>
      <c r="Z63" t="str">
        <v>Manoj P</v>
      </c>
    </row>
    <row r="64" spans="3:26" x14ac:dyDescent="0.35">
      <c r="C64" s="5" t="str">
        <v>E1071</v>
      </c>
      <c r="D64" t="str">
        <v>Vignesh S</v>
      </c>
      <c r="E64" t="str">
        <v>Female</v>
      </c>
      <c r="F64" t="str">
        <v>Sales</v>
      </c>
      <c r="G64" t="str">
        <v>Manager</v>
      </c>
      <c r="H64" t="str">
        <v>Mumbai</v>
      </c>
      <c r="I64">
        <v>45142</v>
      </c>
      <c r="J64">
        <v>33389</v>
      </c>
      <c r="K64">
        <v>88643</v>
      </c>
      <c r="L64">
        <v>9047</v>
      </c>
      <c r="M64">
        <v>9345</v>
      </c>
      <c r="N64">
        <v>107035</v>
      </c>
      <c r="O64">
        <v>1284420</v>
      </c>
      <c r="P64">
        <v>0.10542287603082026</v>
      </c>
      <c r="Q64">
        <v>19</v>
      </c>
      <c r="R64">
        <v>91</v>
      </c>
      <c r="S64">
        <v>2</v>
      </c>
      <c r="T64">
        <v>58</v>
      </c>
      <c r="U64">
        <v>15</v>
      </c>
      <c r="V64">
        <v>83</v>
      </c>
      <c r="W64">
        <v>0</v>
      </c>
      <c r="X64" t="str">
        <v>Yes</v>
      </c>
      <c r="Y64" t="str">
        <v>No</v>
      </c>
      <c r="Z64" t="str">
        <v>Priya M</v>
      </c>
    </row>
    <row r="65" spans="3:26" x14ac:dyDescent="0.35">
      <c r="C65" s="5" t="str">
        <v>E1072</v>
      </c>
      <c r="D65" t="str">
        <v>Rahul R</v>
      </c>
      <c r="E65" t="str">
        <v>Female</v>
      </c>
      <c r="F65" t="str">
        <v>Operations</v>
      </c>
      <c r="G65" t="str">
        <v>Analyst</v>
      </c>
      <c r="H65" t="str">
        <v>Mumbai</v>
      </c>
      <c r="I65">
        <v>43482</v>
      </c>
      <c r="J65">
        <v>35666</v>
      </c>
      <c r="K65">
        <v>89620</v>
      </c>
      <c r="L65">
        <v>13552</v>
      </c>
      <c r="M65">
        <v>4456</v>
      </c>
      <c r="N65">
        <v>107628</v>
      </c>
      <c r="O65">
        <v>1291536</v>
      </c>
      <c r="P65">
        <v>4.9721044409729971E-2</v>
      </c>
      <c r="Q65">
        <v>7</v>
      </c>
      <c r="R65">
        <v>90</v>
      </c>
      <c r="S65">
        <v>1</v>
      </c>
      <c r="T65">
        <v>26</v>
      </c>
      <c r="U65">
        <v>20</v>
      </c>
      <c r="V65">
        <v>64</v>
      </c>
      <c r="W65">
        <v>0</v>
      </c>
      <c r="X65" t="str">
        <v>No</v>
      </c>
      <c r="Y65" t="str">
        <v>No</v>
      </c>
      <c r="Z65" t="str">
        <v>Karthik V</v>
      </c>
    </row>
    <row r="66" spans="3:26" x14ac:dyDescent="0.35">
      <c r="C66" s="5" t="str">
        <v>E1073</v>
      </c>
      <c r="D66" t="str">
        <v>Rahul S</v>
      </c>
      <c r="E66" t="str">
        <v>Male</v>
      </c>
      <c r="F66" t="str">
        <v>Sales</v>
      </c>
      <c r="G66" t="str">
        <v>Senior Analyst</v>
      </c>
      <c r="H66" t="str">
        <v>Hyderabad</v>
      </c>
      <c r="I66">
        <v>44109</v>
      </c>
      <c r="J66">
        <v>35487</v>
      </c>
      <c r="K66">
        <v>74614</v>
      </c>
      <c r="L66">
        <v>15266</v>
      </c>
      <c r="M66">
        <v>4119</v>
      </c>
      <c r="N66">
        <v>93999</v>
      </c>
      <c r="O66">
        <v>1127988</v>
      </c>
      <c r="P66">
        <v>5.5204117189803524E-2</v>
      </c>
      <c r="Q66">
        <v>1</v>
      </c>
      <c r="R66">
        <v>82</v>
      </c>
      <c r="S66">
        <v>5</v>
      </c>
      <c r="T66">
        <v>77</v>
      </c>
      <c r="U66">
        <v>7</v>
      </c>
      <c r="V66">
        <v>92</v>
      </c>
      <c r="W66">
        <v>0</v>
      </c>
      <c r="X66" t="str">
        <v>No</v>
      </c>
      <c r="Y66" t="str">
        <v>No</v>
      </c>
      <c r="Z66" t="str">
        <v>Lakshmi S</v>
      </c>
    </row>
    <row r="67" spans="3:26" x14ac:dyDescent="0.35">
      <c r="C67" s="5" t="str">
        <v>E1074</v>
      </c>
      <c r="D67" t="str">
        <v>Priya M</v>
      </c>
      <c r="E67" t="str">
        <v>Female</v>
      </c>
      <c r="F67" t="str">
        <v>Finance</v>
      </c>
      <c r="G67" t="str">
        <v>Senior Analyst</v>
      </c>
      <c r="H67" t="str">
        <v>Mumbai</v>
      </c>
      <c r="I67">
        <v>43609</v>
      </c>
      <c r="J67">
        <v>35730</v>
      </c>
      <c r="K67">
        <v>98709</v>
      </c>
      <c r="L67">
        <v>17896</v>
      </c>
      <c r="M67">
        <v>2056</v>
      </c>
      <c r="N67">
        <v>118661</v>
      </c>
      <c r="O67">
        <v>1423932</v>
      </c>
      <c r="P67">
        <v>2.0828901113373655E-2</v>
      </c>
      <c r="Q67">
        <v>18</v>
      </c>
      <c r="R67">
        <v>89</v>
      </c>
      <c r="S67">
        <v>4</v>
      </c>
      <c r="T67">
        <v>23</v>
      </c>
      <c r="U67">
        <v>18</v>
      </c>
      <c r="V67">
        <v>77</v>
      </c>
      <c r="W67">
        <v>0</v>
      </c>
      <c r="X67" t="str">
        <v>No</v>
      </c>
      <c r="Y67" t="str">
        <v>No</v>
      </c>
      <c r="Z67" t="str">
        <v>Manoj P</v>
      </c>
    </row>
    <row r="68" spans="3:26" x14ac:dyDescent="0.35">
      <c r="C68" s="5" t="str">
        <v>E1076</v>
      </c>
      <c r="D68" t="str">
        <v>Ravi V</v>
      </c>
      <c r="E68" t="str">
        <v>Male</v>
      </c>
      <c r="F68" t="str">
        <v>Finance</v>
      </c>
      <c r="G68" t="str">
        <v>Senior Analyst</v>
      </c>
      <c r="H68" t="str">
        <v>Coimbatore</v>
      </c>
      <c r="I68">
        <v>45083</v>
      </c>
      <c r="J68">
        <v>33256</v>
      </c>
      <c r="K68">
        <v>82981</v>
      </c>
      <c r="L68">
        <v>3377</v>
      </c>
      <c r="M68">
        <v>1593</v>
      </c>
      <c r="N68">
        <v>87951</v>
      </c>
      <c r="O68">
        <v>1055412</v>
      </c>
      <c r="P68">
        <v>1.9197165616225403E-2</v>
      </c>
      <c r="Q68">
        <v>3</v>
      </c>
      <c r="R68">
        <v>96</v>
      </c>
      <c r="S68">
        <v>2</v>
      </c>
      <c r="T68">
        <v>61</v>
      </c>
      <c r="U68">
        <v>10</v>
      </c>
      <c r="V68">
        <v>85</v>
      </c>
      <c r="W68">
        <v>0</v>
      </c>
      <c r="X68" t="str">
        <v>No</v>
      </c>
      <c r="Y68" t="str">
        <v>No</v>
      </c>
      <c r="Z68" t="str">
        <v>Priya M</v>
      </c>
    </row>
    <row r="69" spans="3:26" x14ac:dyDescent="0.35">
      <c r="C69" s="5" t="str">
        <v>E1078</v>
      </c>
      <c r="D69" t="str">
        <v>Anitha P</v>
      </c>
      <c r="E69" t="str">
        <v>Male</v>
      </c>
      <c r="F69" t="str">
        <v>HR</v>
      </c>
      <c r="G69" t="str">
        <v>Senior Analyst</v>
      </c>
      <c r="H69" t="str">
        <v>Coimbatore</v>
      </c>
      <c r="I69">
        <v>42677</v>
      </c>
      <c r="J69">
        <v>30615</v>
      </c>
      <c r="K69">
        <v>59834</v>
      </c>
      <c r="L69">
        <v>15566</v>
      </c>
      <c r="M69">
        <v>11224</v>
      </c>
      <c r="N69">
        <v>86624</v>
      </c>
      <c r="O69">
        <v>1039488</v>
      </c>
      <c r="P69">
        <v>0.18758565364174215</v>
      </c>
      <c r="Q69">
        <v>10</v>
      </c>
      <c r="R69">
        <v>83</v>
      </c>
      <c r="S69">
        <v>2</v>
      </c>
      <c r="T69">
        <v>30</v>
      </c>
      <c r="U69">
        <v>0</v>
      </c>
      <c r="V69">
        <v>93</v>
      </c>
      <c r="W69">
        <v>0</v>
      </c>
      <c r="X69" t="str">
        <v>No</v>
      </c>
      <c r="Y69" t="str">
        <v>No</v>
      </c>
      <c r="Z69" t="str">
        <v>Manoj P</v>
      </c>
    </row>
    <row r="70" spans="3:26" x14ac:dyDescent="0.35">
      <c r="C70" s="5" t="str">
        <v>E1079</v>
      </c>
      <c r="D70" t="str">
        <v>Lakshmi K</v>
      </c>
      <c r="E70" t="str">
        <v>Male</v>
      </c>
      <c r="F70" t="str">
        <v>Marketing</v>
      </c>
      <c r="G70" t="str">
        <v>Executive</v>
      </c>
      <c r="H70" t="str">
        <v>Chennai</v>
      </c>
      <c r="I70">
        <v>45296</v>
      </c>
      <c r="J70">
        <v>30260</v>
      </c>
      <c r="K70">
        <v>61652</v>
      </c>
      <c r="L70">
        <v>4292</v>
      </c>
      <c r="M70">
        <v>13650</v>
      </c>
      <c r="N70">
        <v>79594</v>
      </c>
      <c r="O70">
        <v>955128</v>
      </c>
      <c r="P70">
        <v>0.22140400960228379</v>
      </c>
      <c r="Q70">
        <v>17</v>
      </c>
      <c r="R70">
        <v>100</v>
      </c>
      <c r="S70">
        <v>5</v>
      </c>
      <c r="T70">
        <v>50</v>
      </c>
      <c r="U70">
        <v>7</v>
      </c>
      <c r="V70">
        <v>73</v>
      </c>
      <c r="W70">
        <v>0</v>
      </c>
      <c r="X70" t="str">
        <v>No</v>
      </c>
      <c r="Y70" t="str">
        <v>Yes</v>
      </c>
      <c r="Z70" t="str">
        <v>Divya R</v>
      </c>
    </row>
    <row r="71" spans="3:26" x14ac:dyDescent="0.35">
      <c r="C71" s="5" t="str">
        <v>E1082</v>
      </c>
      <c r="D71" t="str">
        <v>Ajay S</v>
      </c>
      <c r="E71" t="str">
        <v>Male</v>
      </c>
      <c r="F71" t="str">
        <v>HR</v>
      </c>
      <c r="G71" t="str">
        <v>Team Lead</v>
      </c>
      <c r="H71" t="str">
        <v>Mumbai</v>
      </c>
      <c r="I71">
        <v>42569</v>
      </c>
      <c r="J71">
        <v>38020</v>
      </c>
      <c r="K71">
        <v>65548</v>
      </c>
      <c r="L71">
        <v>11736</v>
      </c>
      <c r="M71">
        <v>13132</v>
      </c>
      <c r="N71">
        <v>90416</v>
      </c>
      <c r="O71">
        <v>1084992</v>
      </c>
      <c r="P71">
        <v>0.20034173430158053</v>
      </c>
      <c r="Q71">
        <v>18</v>
      </c>
      <c r="R71">
        <v>90</v>
      </c>
      <c r="S71">
        <v>4</v>
      </c>
      <c r="T71">
        <v>80</v>
      </c>
      <c r="U71">
        <v>20</v>
      </c>
      <c r="V71">
        <v>86</v>
      </c>
      <c r="W71">
        <v>0</v>
      </c>
      <c r="X71" t="str">
        <v>No</v>
      </c>
      <c r="Y71" t="str">
        <v>No</v>
      </c>
      <c r="Z71" t="str">
        <v>Lakshmi S</v>
      </c>
    </row>
    <row r="72" spans="3:26" x14ac:dyDescent="0.35">
      <c r="C72" s="5" t="str">
        <v>E1083</v>
      </c>
      <c r="D72" t="str">
        <v>Vijay R</v>
      </c>
      <c r="E72" t="str">
        <v>Female</v>
      </c>
      <c r="F72" t="str">
        <v>Finance</v>
      </c>
      <c r="G72" t="str">
        <v>Analyst</v>
      </c>
      <c r="H72" t="str">
        <v>Chennai</v>
      </c>
      <c r="I72">
        <v>43935</v>
      </c>
      <c r="J72">
        <v>33285</v>
      </c>
      <c r="K72">
        <v>83392</v>
      </c>
      <c r="L72">
        <v>9473</v>
      </c>
      <c r="M72">
        <v>4844</v>
      </c>
      <c r="N72">
        <v>97709</v>
      </c>
      <c r="O72">
        <v>1172508</v>
      </c>
      <c r="P72">
        <v>5.808710667689946E-2</v>
      </c>
      <c r="Q72">
        <v>13</v>
      </c>
      <c r="R72">
        <v>89</v>
      </c>
      <c r="S72">
        <v>3</v>
      </c>
      <c r="T72">
        <v>68</v>
      </c>
      <c r="U72">
        <v>24</v>
      </c>
      <c r="V72">
        <v>84</v>
      </c>
      <c r="W72">
        <v>0</v>
      </c>
      <c r="X72" t="str">
        <v>No</v>
      </c>
      <c r="Y72" t="str">
        <v>No</v>
      </c>
      <c r="Z72" t="str">
        <v>Priya M</v>
      </c>
    </row>
    <row r="73" spans="3:26" x14ac:dyDescent="0.35">
      <c r="C73" s="5" t="str">
        <v>E1088</v>
      </c>
      <c r="D73" t="str">
        <v>Meena K</v>
      </c>
      <c r="E73" t="str">
        <v>Male</v>
      </c>
      <c r="F73" t="str">
        <v>Sales</v>
      </c>
      <c r="G73" t="str">
        <v>Senior Analyst</v>
      </c>
      <c r="H73" t="str">
        <v>Chennai</v>
      </c>
      <c r="I73">
        <v>45507</v>
      </c>
      <c r="J73">
        <v>29873</v>
      </c>
      <c r="K73">
        <v>72746</v>
      </c>
      <c r="L73">
        <v>7804</v>
      </c>
      <c r="M73">
        <v>14797</v>
      </c>
      <c r="N73">
        <v>95347</v>
      </c>
      <c r="O73">
        <v>1144164</v>
      </c>
      <c r="P73">
        <v>0.2034063728589888</v>
      </c>
      <c r="Q73">
        <v>5</v>
      </c>
      <c r="R73">
        <v>93</v>
      </c>
      <c r="S73">
        <v>5</v>
      </c>
      <c r="T73">
        <v>8</v>
      </c>
      <c r="U73">
        <v>6</v>
      </c>
      <c r="V73">
        <v>98</v>
      </c>
      <c r="W73">
        <v>0</v>
      </c>
      <c r="X73" t="str">
        <v>No</v>
      </c>
      <c r="Y73" t="str">
        <v>No</v>
      </c>
      <c r="Z73" t="str">
        <v>Lakshmi S</v>
      </c>
    </row>
    <row r="74" spans="3:26" x14ac:dyDescent="0.35">
      <c r="C74" s="5" t="str">
        <v>E1089</v>
      </c>
      <c r="D74" t="str">
        <v>Arjun P</v>
      </c>
      <c r="E74" t="str">
        <v>Male</v>
      </c>
      <c r="F74" t="str">
        <v>IT</v>
      </c>
      <c r="G74" t="str">
        <v>Senior Analyst</v>
      </c>
      <c r="H74" t="str">
        <v>Coimbatore</v>
      </c>
      <c r="I74">
        <v>45220</v>
      </c>
      <c r="J74">
        <v>38197</v>
      </c>
      <c r="K74">
        <v>95018</v>
      </c>
      <c r="L74">
        <v>16727</v>
      </c>
      <c r="M74">
        <v>9490</v>
      </c>
      <c r="N74">
        <v>121235</v>
      </c>
      <c r="O74">
        <v>1454820</v>
      </c>
      <c r="P74">
        <v>9.9875813003851899E-2</v>
      </c>
      <c r="Q74">
        <v>1</v>
      </c>
      <c r="R74">
        <v>81</v>
      </c>
      <c r="S74">
        <v>1</v>
      </c>
      <c r="T74">
        <v>31</v>
      </c>
      <c r="U74">
        <v>14</v>
      </c>
      <c r="V74">
        <v>80</v>
      </c>
      <c r="W74">
        <v>0</v>
      </c>
      <c r="X74" t="str">
        <v>No</v>
      </c>
      <c r="Y74" t="str">
        <v>No</v>
      </c>
      <c r="Z74" t="str">
        <v>Karthik V</v>
      </c>
    </row>
    <row r="75" spans="3:26" x14ac:dyDescent="0.35">
      <c r="C75" s="5" t="str">
        <v>E1090</v>
      </c>
      <c r="D75" t="str">
        <v>Lakshmi R</v>
      </c>
      <c r="E75" t="str">
        <v>Female</v>
      </c>
      <c r="F75" t="str">
        <v>Sales</v>
      </c>
      <c r="G75" t="str">
        <v>Analyst</v>
      </c>
      <c r="H75" t="str">
        <v>Chennai</v>
      </c>
      <c r="I75">
        <v>45466</v>
      </c>
      <c r="J75">
        <v>33444</v>
      </c>
      <c r="K75">
        <v>52855</v>
      </c>
      <c r="L75">
        <v>17612</v>
      </c>
      <c r="M75">
        <v>11403</v>
      </c>
      <c r="N75">
        <v>81870</v>
      </c>
      <c r="O75">
        <v>982440</v>
      </c>
      <c r="P75">
        <v>0.21574117869643364</v>
      </c>
      <c r="Q75">
        <v>13</v>
      </c>
      <c r="R75">
        <v>99</v>
      </c>
      <c r="S75">
        <v>3</v>
      </c>
      <c r="T75">
        <v>64</v>
      </c>
      <c r="U75">
        <v>18</v>
      </c>
      <c r="V75">
        <v>51</v>
      </c>
      <c r="W75">
        <v>0</v>
      </c>
      <c r="X75" t="str">
        <v>No</v>
      </c>
      <c r="Y75" t="str">
        <v>No</v>
      </c>
      <c r="Z75" t="str">
        <v>Lakshmi S</v>
      </c>
    </row>
    <row r="76" spans="3:26" x14ac:dyDescent="0.35">
      <c r="C76" s="5" t="str">
        <v>E1091</v>
      </c>
      <c r="D76" t="str">
        <v>Sneha R</v>
      </c>
      <c r="E76" t="str">
        <v>Female</v>
      </c>
      <c r="F76" t="str">
        <v>HR</v>
      </c>
      <c r="G76" t="str">
        <v>Team Lead</v>
      </c>
      <c r="H76" t="str">
        <v>Chennai</v>
      </c>
      <c r="I76">
        <v>43653</v>
      </c>
      <c r="J76">
        <v>31502</v>
      </c>
      <c r="K76">
        <v>66102</v>
      </c>
      <c r="L76">
        <v>12992</v>
      </c>
      <c r="M76">
        <v>9143</v>
      </c>
      <c r="N76">
        <v>88237</v>
      </c>
      <c r="O76">
        <v>1058844</v>
      </c>
      <c r="P76">
        <v>0.13831654110314362</v>
      </c>
      <c r="Q76">
        <v>18</v>
      </c>
      <c r="R76">
        <v>94</v>
      </c>
      <c r="S76">
        <v>3</v>
      </c>
      <c r="T76">
        <v>18</v>
      </c>
      <c r="U76">
        <v>25</v>
      </c>
      <c r="V76">
        <v>57</v>
      </c>
      <c r="W76">
        <v>0</v>
      </c>
      <c r="X76" t="str">
        <v>No</v>
      </c>
      <c r="Y76" t="str">
        <v>No</v>
      </c>
      <c r="Z76" t="str">
        <v>Karthik V</v>
      </c>
    </row>
    <row r="77" spans="3:26" x14ac:dyDescent="0.35">
      <c r="C77" s="5" t="str">
        <v>E1095</v>
      </c>
      <c r="D77" t="str">
        <v>Kumar R</v>
      </c>
      <c r="E77" t="str">
        <v>Male</v>
      </c>
      <c r="F77" t="str">
        <v>IT</v>
      </c>
      <c r="G77" t="str">
        <v>Team Lead</v>
      </c>
      <c r="H77" t="str">
        <v>Mumbai</v>
      </c>
      <c r="I77">
        <v>42362</v>
      </c>
      <c r="J77">
        <v>35168</v>
      </c>
      <c r="K77">
        <v>52123</v>
      </c>
      <c r="L77">
        <v>17765</v>
      </c>
      <c r="M77">
        <v>13024</v>
      </c>
      <c r="N77">
        <v>82912</v>
      </c>
      <c r="O77">
        <v>994944</v>
      </c>
      <c r="P77">
        <v>0.24987049862824473</v>
      </c>
      <c r="Q77">
        <v>2</v>
      </c>
      <c r="R77">
        <v>80</v>
      </c>
      <c r="S77">
        <v>4</v>
      </c>
      <c r="T77">
        <v>22</v>
      </c>
      <c r="U77">
        <v>19</v>
      </c>
      <c r="V77">
        <v>91</v>
      </c>
      <c r="W77">
        <v>0</v>
      </c>
      <c r="X77" t="str">
        <v>Yes</v>
      </c>
      <c r="Y77" t="str">
        <v>No</v>
      </c>
      <c r="Z77" t="str">
        <v>Lakshmi S</v>
      </c>
    </row>
    <row r="78" spans="3:26" x14ac:dyDescent="0.35">
      <c r="C78" s="5" t="str">
        <v>E1096</v>
      </c>
      <c r="D78" t="str">
        <v>Meena V</v>
      </c>
      <c r="E78" t="str">
        <v>Female</v>
      </c>
      <c r="F78" t="str">
        <v>Marketing</v>
      </c>
      <c r="G78" t="str">
        <v>Executive</v>
      </c>
      <c r="H78" t="str">
        <v>Hyderabad</v>
      </c>
      <c r="I78">
        <v>42669</v>
      </c>
      <c r="J78">
        <v>34272</v>
      </c>
      <c r="K78">
        <v>95255</v>
      </c>
      <c r="L78">
        <v>5763</v>
      </c>
      <c r="M78">
        <v>9533</v>
      </c>
      <c r="N78">
        <v>110551</v>
      </c>
      <c r="O78">
        <v>1326612</v>
      </c>
      <c r="P78">
        <v>0.10007873602435567</v>
      </c>
      <c r="Q78">
        <v>16</v>
      </c>
      <c r="R78">
        <v>97</v>
      </c>
      <c r="S78">
        <v>1</v>
      </c>
      <c r="T78">
        <v>38</v>
      </c>
      <c r="U78">
        <v>9</v>
      </c>
      <c r="V78">
        <v>68</v>
      </c>
      <c r="W78">
        <v>0</v>
      </c>
      <c r="X78" t="str">
        <v>No</v>
      </c>
      <c r="Y78" t="str">
        <v>No</v>
      </c>
      <c r="Z78" t="str">
        <v>Ravi Kumar</v>
      </c>
    </row>
    <row r="79" spans="3:26" x14ac:dyDescent="0.35">
      <c r="C79" s="5" t="str">
        <v>E1097</v>
      </c>
      <c r="D79" t="str">
        <v>Karthik P</v>
      </c>
      <c r="E79" t="str">
        <v>Male</v>
      </c>
      <c r="F79" t="str">
        <v>Finance</v>
      </c>
      <c r="G79" t="str">
        <v>Associate</v>
      </c>
      <c r="H79" t="str">
        <v>Chennai</v>
      </c>
      <c r="I79">
        <v>43068</v>
      </c>
      <c r="J79">
        <v>30404</v>
      </c>
      <c r="K79">
        <v>95918</v>
      </c>
      <c r="L79">
        <v>6561</v>
      </c>
      <c r="M79">
        <v>1711</v>
      </c>
      <c r="N79">
        <v>104190</v>
      </c>
      <c r="O79">
        <v>1250280</v>
      </c>
      <c r="P79">
        <v>1.7838153422715237E-2</v>
      </c>
      <c r="Q79">
        <v>18</v>
      </c>
      <c r="R79">
        <v>96</v>
      </c>
      <c r="S79">
        <v>5</v>
      </c>
      <c r="T79">
        <v>58</v>
      </c>
      <c r="U79">
        <v>16</v>
      </c>
      <c r="V79">
        <v>52</v>
      </c>
      <c r="W79">
        <v>0</v>
      </c>
      <c r="X79" t="str">
        <v>No</v>
      </c>
      <c r="Y79" t="str">
        <v>Yes</v>
      </c>
      <c r="Z79" t="str">
        <v>Manoj P</v>
      </c>
    </row>
    <row r="80" spans="3:26" x14ac:dyDescent="0.35">
      <c r="C80" s="5" t="str">
        <v>E1104</v>
      </c>
      <c r="D80" t="str">
        <v>Anitha M</v>
      </c>
      <c r="E80" t="str">
        <v>Female</v>
      </c>
      <c r="F80" t="str">
        <v>Finance</v>
      </c>
      <c r="G80" t="str">
        <v>Senior Analyst</v>
      </c>
      <c r="H80" t="str">
        <v>Madurai</v>
      </c>
      <c r="I80">
        <v>42200</v>
      </c>
      <c r="J80">
        <v>31508</v>
      </c>
      <c r="K80">
        <v>81244</v>
      </c>
      <c r="L80">
        <v>6879</v>
      </c>
      <c r="M80">
        <v>9496</v>
      </c>
      <c r="N80">
        <v>97619</v>
      </c>
      <c r="O80">
        <v>1171428</v>
      </c>
      <c r="P80">
        <v>0.11688247747525971</v>
      </c>
      <c r="Q80">
        <v>4</v>
      </c>
      <c r="R80">
        <v>88</v>
      </c>
      <c r="S80">
        <v>5</v>
      </c>
      <c r="T80">
        <v>8</v>
      </c>
      <c r="U80">
        <v>24</v>
      </c>
      <c r="V80">
        <v>90</v>
      </c>
      <c r="W80">
        <v>0</v>
      </c>
      <c r="X80" t="str">
        <v>No</v>
      </c>
      <c r="Y80" t="str">
        <v>No</v>
      </c>
      <c r="Z80" t="str">
        <v>Ravi Kumar</v>
      </c>
    </row>
    <row r="81" spans="3:26" x14ac:dyDescent="0.35">
      <c r="C81" s="5" t="str">
        <v>E1105</v>
      </c>
      <c r="D81" t="str">
        <v>Arjun P</v>
      </c>
      <c r="E81" t="str">
        <v>Male</v>
      </c>
      <c r="F81" t="str">
        <v>Finance</v>
      </c>
      <c r="G81" t="str">
        <v>Senior Analyst</v>
      </c>
      <c r="H81" t="str">
        <v>Mumbai</v>
      </c>
      <c r="I81">
        <v>45617</v>
      </c>
      <c r="J81">
        <v>36415</v>
      </c>
      <c r="K81">
        <v>93719</v>
      </c>
      <c r="L81">
        <v>9717</v>
      </c>
      <c r="M81">
        <v>8441</v>
      </c>
      <c r="N81">
        <v>111877</v>
      </c>
      <c r="O81">
        <v>1342524</v>
      </c>
      <c r="P81">
        <v>9.006711552620067E-2</v>
      </c>
      <c r="Q81">
        <v>2</v>
      </c>
      <c r="R81">
        <v>81</v>
      </c>
      <c r="S81">
        <v>2</v>
      </c>
      <c r="T81">
        <v>8</v>
      </c>
      <c r="U81">
        <v>20</v>
      </c>
      <c r="V81">
        <v>60</v>
      </c>
      <c r="W81">
        <v>0</v>
      </c>
      <c r="X81" t="str">
        <v>Yes</v>
      </c>
      <c r="Y81" t="str">
        <v>No</v>
      </c>
      <c r="Z81" t="str">
        <v>Divya R</v>
      </c>
    </row>
    <row r="82" spans="3:26" x14ac:dyDescent="0.35">
      <c r="C82" s="5" t="str">
        <v>E1106</v>
      </c>
      <c r="D82" t="str">
        <v>Vijay R</v>
      </c>
      <c r="E82" t="str">
        <v>Male</v>
      </c>
      <c r="F82" t="str">
        <v>Finance</v>
      </c>
      <c r="G82" t="str">
        <v>Manager</v>
      </c>
      <c r="H82" t="str">
        <v>Chennai</v>
      </c>
      <c r="I82">
        <v>43646</v>
      </c>
      <c r="J82">
        <v>36895</v>
      </c>
      <c r="K82">
        <v>95683</v>
      </c>
      <c r="L82">
        <v>17649</v>
      </c>
      <c r="M82">
        <v>8527</v>
      </c>
      <c r="N82">
        <v>121859</v>
      </c>
      <c r="O82">
        <v>1462308</v>
      </c>
      <c r="P82">
        <v>8.9117189051346635E-2</v>
      </c>
      <c r="Q82">
        <v>16</v>
      </c>
      <c r="R82">
        <v>89</v>
      </c>
      <c r="S82">
        <v>1</v>
      </c>
      <c r="T82">
        <v>16</v>
      </c>
      <c r="U82">
        <v>13</v>
      </c>
      <c r="V82">
        <v>81</v>
      </c>
      <c r="W82">
        <v>0</v>
      </c>
      <c r="X82" t="str">
        <v>No</v>
      </c>
      <c r="Y82" t="str">
        <v>No</v>
      </c>
      <c r="Z82" t="str">
        <v>Ravi Kumar</v>
      </c>
    </row>
    <row r="83" spans="3:26" x14ac:dyDescent="0.35">
      <c r="C83" s="5" t="str">
        <v>E1111</v>
      </c>
      <c r="D83" t="str">
        <v>Divya V</v>
      </c>
      <c r="E83" t="str">
        <v>Male</v>
      </c>
      <c r="F83" t="str">
        <v>Marketing</v>
      </c>
      <c r="G83" t="str">
        <v>Analyst</v>
      </c>
      <c r="H83" t="str">
        <v>Madurai</v>
      </c>
      <c r="I83">
        <v>45642</v>
      </c>
      <c r="J83">
        <v>34640</v>
      </c>
      <c r="K83">
        <v>92587</v>
      </c>
      <c r="L83">
        <v>6144</v>
      </c>
      <c r="M83">
        <v>10987</v>
      </c>
      <c r="N83">
        <v>109718</v>
      </c>
      <c r="O83">
        <v>1316616</v>
      </c>
      <c r="P83">
        <v>0.11866676747275536</v>
      </c>
      <c r="Q83">
        <v>20</v>
      </c>
      <c r="R83">
        <v>92</v>
      </c>
      <c r="S83">
        <v>4</v>
      </c>
      <c r="T83">
        <v>39</v>
      </c>
      <c r="U83">
        <v>6</v>
      </c>
      <c r="V83">
        <v>84</v>
      </c>
      <c r="W83">
        <v>0</v>
      </c>
      <c r="X83" t="str">
        <v>Yes</v>
      </c>
      <c r="Y83" t="str">
        <v>No</v>
      </c>
      <c r="Z83" t="str">
        <v>Manoj P</v>
      </c>
    </row>
    <row r="84" spans="3:26" x14ac:dyDescent="0.35">
      <c r="C84" s="5" t="str">
        <v>E1115</v>
      </c>
      <c r="D84" t="str">
        <v>Ravi S</v>
      </c>
      <c r="E84" t="str">
        <v>Male</v>
      </c>
      <c r="F84" t="str">
        <v>Sales</v>
      </c>
      <c r="G84" t="str">
        <v>Team Lead</v>
      </c>
      <c r="H84" t="str">
        <v>Hyderabad</v>
      </c>
      <c r="I84">
        <v>43048</v>
      </c>
      <c r="J84">
        <v>38121</v>
      </c>
      <c r="K84">
        <v>92650</v>
      </c>
      <c r="L84">
        <v>8852</v>
      </c>
      <c r="M84">
        <v>5168</v>
      </c>
      <c r="N84">
        <v>106670</v>
      </c>
      <c r="O84">
        <v>1280040</v>
      </c>
      <c r="P84">
        <v>5.5779816513761467E-2</v>
      </c>
      <c r="Q84">
        <v>12</v>
      </c>
      <c r="R84">
        <v>96</v>
      </c>
      <c r="S84">
        <v>2</v>
      </c>
      <c r="T84">
        <v>6</v>
      </c>
      <c r="U84">
        <v>23</v>
      </c>
      <c r="V84">
        <v>99</v>
      </c>
      <c r="W84">
        <v>0</v>
      </c>
      <c r="X84" t="str">
        <v>No</v>
      </c>
      <c r="Y84" t="str">
        <v>No</v>
      </c>
      <c r="Z84" t="str">
        <v>Priya M</v>
      </c>
    </row>
    <row r="85" spans="3:26" x14ac:dyDescent="0.35">
      <c r="C85" s="5" t="str">
        <v>E1119</v>
      </c>
      <c r="D85" t="str">
        <v>Asha P</v>
      </c>
      <c r="E85" t="str">
        <v>Female</v>
      </c>
      <c r="F85" t="str">
        <v>Operations</v>
      </c>
      <c r="G85" t="str">
        <v>Team Lead</v>
      </c>
      <c r="H85" t="str">
        <v>Mumbai</v>
      </c>
      <c r="I85">
        <v>42079</v>
      </c>
      <c r="J85">
        <v>34399</v>
      </c>
      <c r="K85">
        <v>72647</v>
      </c>
      <c r="L85">
        <v>6940</v>
      </c>
      <c r="M85">
        <v>8400</v>
      </c>
      <c r="N85">
        <v>87987</v>
      </c>
      <c r="O85">
        <v>1055844</v>
      </c>
      <c r="P85">
        <v>0.11562762398997894</v>
      </c>
      <c r="Q85">
        <v>9</v>
      </c>
      <c r="R85">
        <v>97</v>
      </c>
      <c r="S85">
        <v>3</v>
      </c>
      <c r="T85">
        <v>16</v>
      </c>
      <c r="U85">
        <v>0</v>
      </c>
      <c r="V85">
        <v>76</v>
      </c>
      <c r="W85">
        <v>0</v>
      </c>
      <c r="X85" t="str">
        <v>Yes</v>
      </c>
      <c r="Y85" t="str">
        <v>No</v>
      </c>
      <c r="Z85" t="str">
        <v>Lakshmi S</v>
      </c>
    </row>
    <row r="86" spans="3:26" x14ac:dyDescent="0.35">
      <c r="C86" s="5" t="str">
        <v>E1121</v>
      </c>
      <c r="D86" t="str">
        <v>Lakshmi V</v>
      </c>
      <c r="E86" t="str">
        <v>Female</v>
      </c>
      <c r="F86" t="str">
        <v>Marketing</v>
      </c>
      <c r="G86" t="str">
        <v>Executive</v>
      </c>
      <c r="H86" t="str">
        <v>Hyderabad</v>
      </c>
      <c r="I86">
        <v>43311</v>
      </c>
      <c r="J86">
        <v>37777</v>
      </c>
      <c r="K86">
        <v>61014</v>
      </c>
      <c r="L86">
        <v>17226</v>
      </c>
      <c r="M86">
        <v>13447</v>
      </c>
      <c r="N86">
        <v>91687</v>
      </c>
      <c r="O86">
        <v>1100244</v>
      </c>
      <c r="P86">
        <v>0.22039204117087882</v>
      </c>
      <c r="Q86">
        <v>13</v>
      </c>
      <c r="R86">
        <v>86</v>
      </c>
      <c r="S86">
        <v>5</v>
      </c>
      <c r="T86">
        <v>20</v>
      </c>
      <c r="U86">
        <v>19</v>
      </c>
      <c r="V86">
        <v>89</v>
      </c>
      <c r="W86">
        <v>0</v>
      </c>
      <c r="X86" t="str">
        <v>Yes</v>
      </c>
      <c r="Y86" t="str">
        <v>No</v>
      </c>
      <c r="Z86" t="str">
        <v>Priya M</v>
      </c>
    </row>
    <row r="87" spans="3:26" x14ac:dyDescent="0.35">
      <c r="C87" s="5" t="str">
        <v>E1124</v>
      </c>
      <c r="D87" t="str">
        <v>Suresh R</v>
      </c>
      <c r="E87" t="str">
        <v>Male</v>
      </c>
      <c r="F87" t="str">
        <v>Marketing</v>
      </c>
      <c r="G87" t="str">
        <v>Senior Analyst</v>
      </c>
      <c r="H87" t="str">
        <v>Madurai</v>
      </c>
      <c r="I87">
        <v>43950</v>
      </c>
      <c r="J87">
        <v>30582</v>
      </c>
      <c r="K87">
        <v>71867</v>
      </c>
      <c r="L87">
        <v>15788</v>
      </c>
      <c r="M87">
        <v>1286</v>
      </c>
      <c r="N87">
        <v>88941</v>
      </c>
      <c r="O87">
        <v>1067292</v>
      </c>
      <c r="P87">
        <v>1.7894165611476755E-2</v>
      </c>
      <c r="Q87">
        <v>1</v>
      </c>
      <c r="R87">
        <v>95</v>
      </c>
      <c r="S87">
        <v>5</v>
      </c>
      <c r="T87">
        <v>41</v>
      </c>
      <c r="U87">
        <v>15</v>
      </c>
      <c r="V87">
        <v>90</v>
      </c>
      <c r="W87">
        <v>0</v>
      </c>
      <c r="X87" t="str">
        <v>Yes</v>
      </c>
      <c r="Y87" t="str">
        <v>Yes</v>
      </c>
      <c r="Z87" t="str">
        <v>Karthik V</v>
      </c>
    </row>
    <row r="88" spans="3:26" x14ac:dyDescent="0.35">
      <c r="C88" s="5" t="str">
        <v>E1125</v>
      </c>
      <c r="D88" t="str">
        <v>Ajay P</v>
      </c>
      <c r="E88" t="str">
        <v>Male</v>
      </c>
      <c r="F88" t="str">
        <v>Operations</v>
      </c>
      <c r="G88" t="str">
        <v>Executive</v>
      </c>
      <c r="H88" t="str">
        <v>Coimbatore</v>
      </c>
      <c r="I88">
        <v>43349</v>
      </c>
      <c r="J88">
        <v>30370</v>
      </c>
      <c r="K88">
        <v>63213</v>
      </c>
      <c r="L88">
        <v>12753</v>
      </c>
      <c r="M88">
        <v>13140</v>
      </c>
      <c r="N88">
        <v>89106</v>
      </c>
      <c r="O88">
        <v>1069272</v>
      </c>
      <c r="P88">
        <v>0.20786863461629729</v>
      </c>
      <c r="Q88">
        <v>14</v>
      </c>
      <c r="R88">
        <v>93</v>
      </c>
      <c r="S88">
        <v>2</v>
      </c>
      <c r="T88">
        <v>33</v>
      </c>
      <c r="U88">
        <v>21</v>
      </c>
      <c r="V88">
        <v>61</v>
      </c>
      <c r="W88">
        <v>0</v>
      </c>
      <c r="X88" t="str">
        <v>Yes</v>
      </c>
      <c r="Y88" t="str">
        <v>No</v>
      </c>
      <c r="Z88" t="str">
        <v>Manoj P</v>
      </c>
    </row>
    <row r="89" spans="3:26" x14ac:dyDescent="0.35">
      <c r="C89" s="5" t="str">
        <v>E1127</v>
      </c>
      <c r="D89" t="str">
        <v>Divya V</v>
      </c>
      <c r="E89" t="str">
        <v>Male</v>
      </c>
      <c r="F89" t="str">
        <v>Sales</v>
      </c>
      <c r="G89" t="str">
        <v>Team Lead</v>
      </c>
      <c r="H89" t="str">
        <v>Chennai</v>
      </c>
      <c r="I89">
        <v>42302</v>
      </c>
      <c r="J89">
        <v>32339</v>
      </c>
      <c r="K89">
        <v>99459</v>
      </c>
      <c r="L89">
        <v>7797</v>
      </c>
      <c r="M89">
        <v>6689</v>
      </c>
      <c r="N89">
        <v>113945</v>
      </c>
      <c r="O89">
        <v>1367340</v>
      </c>
      <c r="P89">
        <v>6.725384329221086E-2</v>
      </c>
      <c r="Q89">
        <v>13</v>
      </c>
      <c r="R89">
        <v>82</v>
      </c>
      <c r="S89">
        <v>5</v>
      </c>
      <c r="T89">
        <v>25</v>
      </c>
      <c r="U89">
        <v>12</v>
      </c>
      <c r="V89">
        <v>98</v>
      </c>
      <c r="W89">
        <v>0</v>
      </c>
      <c r="X89" t="str">
        <v>No</v>
      </c>
      <c r="Y89" t="str">
        <v>No</v>
      </c>
      <c r="Z89" t="str">
        <v>Divya R</v>
      </c>
    </row>
    <row r="90" spans="3:26" x14ac:dyDescent="0.35">
      <c r="C90" s="5" t="str">
        <v>E1128</v>
      </c>
      <c r="D90" t="str">
        <v>Vignesh V</v>
      </c>
      <c r="E90" t="str">
        <v>Female</v>
      </c>
      <c r="F90" t="str">
        <v>HR</v>
      </c>
      <c r="G90" t="str">
        <v>Team Lead</v>
      </c>
      <c r="H90" t="str">
        <v>Mumbai</v>
      </c>
      <c r="I90">
        <v>43493</v>
      </c>
      <c r="J90">
        <v>36364</v>
      </c>
      <c r="K90">
        <v>87673</v>
      </c>
      <c r="L90">
        <v>4216</v>
      </c>
      <c r="M90">
        <v>13081</v>
      </c>
      <c r="N90">
        <v>104970</v>
      </c>
      <c r="O90">
        <v>1259640</v>
      </c>
      <c r="P90">
        <v>0.14920214889418634</v>
      </c>
      <c r="Q90">
        <v>13</v>
      </c>
      <c r="R90">
        <v>95</v>
      </c>
      <c r="S90">
        <v>3</v>
      </c>
      <c r="T90">
        <v>28</v>
      </c>
      <c r="U90">
        <v>4</v>
      </c>
      <c r="V90">
        <v>95</v>
      </c>
      <c r="W90">
        <v>0</v>
      </c>
      <c r="X90" t="str">
        <v>No</v>
      </c>
      <c r="Y90" t="str">
        <v>No</v>
      </c>
      <c r="Z90" t="str">
        <v>Priya M</v>
      </c>
    </row>
    <row r="91" spans="3:26" x14ac:dyDescent="0.35">
      <c r="C91" s="5" t="str">
        <v>E1129</v>
      </c>
      <c r="D91" t="str">
        <v>Manoj M</v>
      </c>
      <c r="E91" t="str">
        <v>Female</v>
      </c>
      <c r="F91" t="str">
        <v>Finance</v>
      </c>
      <c r="G91" t="str">
        <v>Analyst</v>
      </c>
      <c r="H91" t="str">
        <v>Bengaluru</v>
      </c>
      <c r="I91">
        <v>44180</v>
      </c>
      <c r="J91">
        <v>37641</v>
      </c>
      <c r="K91">
        <v>62708</v>
      </c>
      <c r="L91">
        <v>10995</v>
      </c>
      <c r="M91">
        <v>14198</v>
      </c>
      <c r="N91">
        <v>87901</v>
      </c>
      <c r="O91">
        <v>1054812</v>
      </c>
      <c r="P91">
        <v>0.22641449256873125</v>
      </c>
      <c r="Q91">
        <v>19</v>
      </c>
      <c r="R91">
        <v>83</v>
      </c>
      <c r="S91">
        <v>3</v>
      </c>
      <c r="T91">
        <v>48</v>
      </c>
      <c r="U91">
        <v>2</v>
      </c>
      <c r="V91">
        <v>87</v>
      </c>
      <c r="W91">
        <v>0</v>
      </c>
      <c r="X91" t="str">
        <v>No</v>
      </c>
      <c r="Y91" t="str">
        <v>No</v>
      </c>
      <c r="Z91" t="str">
        <v>Ravi Kumar</v>
      </c>
    </row>
    <row r="92" spans="3:26" x14ac:dyDescent="0.35">
      <c r="C92" s="5" t="str">
        <v>E1131</v>
      </c>
      <c r="D92" t="str">
        <v>Divya S</v>
      </c>
      <c r="E92" t="str">
        <v>Female</v>
      </c>
      <c r="F92" t="str">
        <v>HR</v>
      </c>
      <c r="G92" t="str">
        <v>Analyst</v>
      </c>
      <c r="H92" t="str">
        <v>Chennai</v>
      </c>
      <c r="I92">
        <v>42960</v>
      </c>
      <c r="J92">
        <v>29790</v>
      </c>
      <c r="K92">
        <v>69304</v>
      </c>
      <c r="L92">
        <v>15165</v>
      </c>
      <c r="M92">
        <v>3795</v>
      </c>
      <c r="N92">
        <v>88264</v>
      </c>
      <c r="O92">
        <v>1059168</v>
      </c>
      <c r="P92">
        <v>5.4758744084035554E-2</v>
      </c>
      <c r="Q92">
        <v>1</v>
      </c>
      <c r="R92">
        <v>88</v>
      </c>
      <c r="S92">
        <v>1</v>
      </c>
      <c r="T92">
        <v>24</v>
      </c>
      <c r="U92">
        <v>10</v>
      </c>
      <c r="V92">
        <v>54</v>
      </c>
      <c r="W92">
        <v>0</v>
      </c>
      <c r="X92" t="str">
        <v>No</v>
      </c>
      <c r="Y92" t="str">
        <v>No</v>
      </c>
      <c r="Z92" t="str">
        <v>Divya R</v>
      </c>
    </row>
    <row r="93" spans="3:26" x14ac:dyDescent="0.35">
      <c r="C93" s="5" t="str">
        <v>E1132</v>
      </c>
      <c r="D93" t="str">
        <v>Karthik K</v>
      </c>
      <c r="E93" t="str">
        <v>Male</v>
      </c>
      <c r="F93" t="str">
        <v>Operations</v>
      </c>
      <c r="G93" t="str">
        <v>Manager</v>
      </c>
      <c r="H93" t="str">
        <v>Madurai</v>
      </c>
      <c r="I93">
        <v>45115</v>
      </c>
      <c r="J93">
        <v>35703</v>
      </c>
      <c r="K93">
        <v>85718</v>
      </c>
      <c r="L93">
        <v>13037</v>
      </c>
      <c r="M93">
        <v>8140</v>
      </c>
      <c r="N93">
        <v>106895</v>
      </c>
      <c r="O93">
        <v>1282740</v>
      </c>
      <c r="P93">
        <v>9.4962551622763014E-2</v>
      </c>
      <c r="Q93">
        <v>7</v>
      </c>
      <c r="R93">
        <v>82</v>
      </c>
      <c r="S93">
        <v>3</v>
      </c>
      <c r="T93">
        <v>14</v>
      </c>
      <c r="U93">
        <v>7</v>
      </c>
      <c r="V93">
        <v>89</v>
      </c>
      <c r="W93">
        <v>0</v>
      </c>
      <c r="X93" t="str">
        <v>No</v>
      </c>
      <c r="Y93" t="str">
        <v>No</v>
      </c>
      <c r="Z93" t="str">
        <v>Manoj P</v>
      </c>
    </row>
    <row r="94" spans="3:26" x14ac:dyDescent="0.35">
      <c r="C94" s="5" t="str">
        <v>E1139</v>
      </c>
      <c r="D94" t="str">
        <v>Anitha V</v>
      </c>
      <c r="E94" t="str">
        <v>Female</v>
      </c>
      <c r="F94" t="str">
        <v>Marketing</v>
      </c>
      <c r="G94" t="str">
        <v>Associate</v>
      </c>
      <c r="H94" t="str">
        <v>Chennai</v>
      </c>
      <c r="I94">
        <v>44375</v>
      </c>
      <c r="J94">
        <v>29427</v>
      </c>
      <c r="K94">
        <v>53527</v>
      </c>
      <c r="L94">
        <v>16777</v>
      </c>
      <c r="M94">
        <v>10527</v>
      </c>
      <c r="N94">
        <v>80831</v>
      </c>
      <c r="O94">
        <v>969972</v>
      </c>
      <c r="P94">
        <v>0.19666710258374279</v>
      </c>
      <c r="Q94">
        <v>14</v>
      </c>
      <c r="R94">
        <v>94</v>
      </c>
      <c r="S94">
        <v>3</v>
      </c>
      <c r="T94">
        <v>3</v>
      </c>
      <c r="U94">
        <v>4</v>
      </c>
      <c r="V94">
        <v>78</v>
      </c>
      <c r="W94">
        <v>0</v>
      </c>
      <c r="X94" t="str">
        <v>Yes</v>
      </c>
      <c r="Y94" t="str">
        <v>No</v>
      </c>
      <c r="Z94" t="str">
        <v>Priya M</v>
      </c>
    </row>
    <row r="95" spans="3:26" x14ac:dyDescent="0.35">
      <c r="C95" s="5" t="str">
        <v>E1142</v>
      </c>
      <c r="D95" t="str">
        <v>Keerthana S</v>
      </c>
      <c r="E95" t="str">
        <v>Male</v>
      </c>
      <c r="F95" t="str">
        <v>Operations</v>
      </c>
      <c r="G95" t="str">
        <v>Senior Analyst</v>
      </c>
      <c r="H95" t="str">
        <v>Madurai</v>
      </c>
      <c r="I95">
        <v>45404</v>
      </c>
      <c r="J95">
        <v>29415</v>
      </c>
      <c r="K95">
        <v>81171</v>
      </c>
      <c r="L95">
        <v>15991</v>
      </c>
      <c r="M95">
        <v>4599</v>
      </c>
      <c r="N95">
        <v>101761</v>
      </c>
      <c r="O95">
        <v>1221132</v>
      </c>
      <c r="P95">
        <v>5.6658166093801976E-2</v>
      </c>
      <c r="Q95">
        <v>10</v>
      </c>
      <c r="R95">
        <v>84</v>
      </c>
      <c r="S95">
        <v>1</v>
      </c>
      <c r="T95">
        <v>49</v>
      </c>
      <c r="U95">
        <v>11</v>
      </c>
      <c r="V95">
        <v>63</v>
      </c>
      <c r="W95">
        <v>0</v>
      </c>
      <c r="X95" t="str">
        <v>No</v>
      </c>
      <c r="Y95" t="str">
        <v>No</v>
      </c>
      <c r="Z95" t="str">
        <v>Lakshmi S</v>
      </c>
    </row>
    <row r="96" spans="3:26" x14ac:dyDescent="0.35">
      <c r="C96" s="5" t="str">
        <v>E1144</v>
      </c>
      <c r="D96" t="str">
        <v>Divya S</v>
      </c>
      <c r="E96" t="str">
        <v>Female</v>
      </c>
      <c r="F96" t="str">
        <v>Finance</v>
      </c>
      <c r="G96" t="str">
        <v>Senior Analyst</v>
      </c>
      <c r="H96" t="str">
        <v>Hyderabad</v>
      </c>
      <c r="I96">
        <v>43043</v>
      </c>
      <c r="J96">
        <v>34556</v>
      </c>
      <c r="K96">
        <v>61028</v>
      </c>
      <c r="L96">
        <v>13842</v>
      </c>
      <c r="M96">
        <v>3653</v>
      </c>
      <c r="N96">
        <v>78523</v>
      </c>
      <c r="O96">
        <v>942276</v>
      </c>
      <c r="P96">
        <v>5.9857770203840859E-2</v>
      </c>
      <c r="Q96">
        <v>20</v>
      </c>
      <c r="R96">
        <v>88</v>
      </c>
      <c r="S96">
        <v>2</v>
      </c>
      <c r="T96">
        <v>2</v>
      </c>
      <c r="U96">
        <v>23</v>
      </c>
      <c r="V96">
        <v>79</v>
      </c>
      <c r="W96">
        <v>0</v>
      </c>
      <c r="X96" t="str">
        <v>Yes</v>
      </c>
      <c r="Y96" t="str">
        <v>No</v>
      </c>
      <c r="Z96" t="str">
        <v>Priya M</v>
      </c>
    </row>
    <row r="97" spans="3:26" x14ac:dyDescent="0.35">
      <c r="C97" s="5" t="str">
        <v>E1145</v>
      </c>
      <c r="D97" t="str">
        <v>Vijay M</v>
      </c>
      <c r="E97" t="str">
        <v>Male</v>
      </c>
      <c r="F97" t="str">
        <v>IT</v>
      </c>
      <c r="G97" t="str">
        <v>Associate</v>
      </c>
      <c r="H97" t="str">
        <v>Madurai</v>
      </c>
      <c r="I97">
        <v>44155</v>
      </c>
      <c r="J97">
        <v>34678</v>
      </c>
      <c r="K97">
        <v>81514</v>
      </c>
      <c r="L97">
        <v>6149</v>
      </c>
      <c r="M97">
        <v>4050</v>
      </c>
      <c r="N97">
        <v>91713</v>
      </c>
      <c r="O97">
        <v>1100556</v>
      </c>
      <c r="P97">
        <v>4.9684716735775451E-2</v>
      </c>
      <c r="Q97">
        <v>18</v>
      </c>
      <c r="R97">
        <v>81</v>
      </c>
      <c r="S97">
        <v>2</v>
      </c>
      <c r="T97">
        <v>28</v>
      </c>
      <c r="U97">
        <v>15</v>
      </c>
      <c r="V97">
        <v>96</v>
      </c>
      <c r="W97">
        <v>0</v>
      </c>
      <c r="X97" t="str">
        <v>No</v>
      </c>
      <c r="Y97" t="str">
        <v>No</v>
      </c>
      <c r="Z97" t="str">
        <v>Ravi Kumar</v>
      </c>
    </row>
    <row r="98" spans="3:26" x14ac:dyDescent="0.35">
      <c r="C98" s="5" t="str">
        <v>E1147</v>
      </c>
      <c r="D98" t="str">
        <v>Divya P</v>
      </c>
      <c r="E98" t="str">
        <v>Female</v>
      </c>
      <c r="F98" t="str">
        <v>IT</v>
      </c>
      <c r="G98" t="str">
        <v>Senior Analyst</v>
      </c>
      <c r="H98" t="str">
        <v>Madurai</v>
      </c>
      <c r="I98">
        <v>42694</v>
      </c>
      <c r="J98">
        <v>32904</v>
      </c>
      <c r="K98">
        <v>83779</v>
      </c>
      <c r="L98">
        <v>9902</v>
      </c>
      <c r="M98">
        <v>8877</v>
      </c>
      <c r="N98">
        <v>102558</v>
      </c>
      <c r="O98">
        <v>1230696</v>
      </c>
      <c r="P98">
        <v>0.10595734014490504</v>
      </c>
      <c r="Q98">
        <v>7</v>
      </c>
      <c r="R98">
        <v>97</v>
      </c>
      <c r="S98">
        <v>1</v>
      </c>
      <c r="T98">
        <v>3</v>
      </c>
      <c r="U98">
        <v>15</v>
      </c>
      <c r="V98">
        <v>94</v>
      </c>
      <c r="W98">
        <v>0</v>
      </c>
      <c r="X98" t="str">
        <v>No</v>
      </c>
      <c r="Y98" t="str">
        <v>No</v>
      </c>
      <c r="Z98" t="str">
        <v>Karthik V</v>
      </c>
    </row>
    <row r="99" spans="3:26" x14ac:dyDescent="0.35">
      <c r="C99" s="5" t="str">
        <v>E1149</v>
      </c>
      <c r="D99" t="str">
        <v>Pooja P</v>
      </c>
      <c r="E99" t="str">
        <v>Female</v>
      </c>
      <c r="F99" t="str">
        <v>Finance</v>
      </c>
      <c r="G99" t="str">
        <v>Analyst</v>
      </c>
      <c r="H99" t="str">
        <v>Chennai</v>
      </c>
      <c r="I99">
        <v>44349</v>
      </c>
      <c r="J99">
        <v>34733</v>
      </c>
      <c r="K99">
        <v>84558</v>
      </c>
      <c r="L99">
        <v>4608</v>
      </c>
      <c r="M99">
        <v>4498</v>
      </c>
      <c r="N99">
        <v>93664</v>
      </c>
      <c r="O99">
        <v>1123968</v>
      </c>
      <c r="P99">
        <v>5.3194257196243995E-2</v>
      </c>
      <c r="Q99">
        <v>10</v>
      </c>
      <c r="R99">
        <v>90</v>
      </c>
      <c r="S99">
        <v>2</v>
      </c>
      <c r="T99">
        <v>16</v>
      </c>
      <c r="U99">
        <v>18</v>
      </c>
      <c r="V99">
        <v>57</v>
      </c>
      <c r="W99">
        <v>0</v>
      </c>
      <c r="X99" t="str">
        <v>No</v>
      </c>
      <c r="Y99" t="str">
        <v>No</v>
      </c>
      <c r="Z99" t="str">
        <v>Priya M</v>
      </c>
    </row>
    <row r="100" spans="3:26" x14ac:dyDescent="0.35">
      <c r="C100" s="5" t="str">
        <v>E1152</v>
      </c>
      <c r="D100" t="str">
        <v>Pooja R</v>
      </c>
      <c r="E100" t="str">
        <v>Male</v>
      </c>
      <c r="F100" t="str">
        <v>HR</v>
      </c>
      <c r="G100" t="str">
        <v>Executive</v>
      </c>
      <c r="H100" t="str">
        <v>Mumbai</v>
      </c>
      <c r="I100">
        <v>42977</v>
      </c>
      <c r="J100">
        <v>35972</v>
      </c>
      <c r="K100">
        <v>91819</v>
      </c>
      <c r="L100">
        <v>15739</v>
      </c>
      <c r="M100">
        <v>5865</v>
      </c>
      <c r="N100">
        <v>113423</v>
      </c>
      <c r="O100">
        <v>1361076</v>
      </c>
      <c r="P100">
        <v>6.3875668434637711E-2</v>
      </c>
      <c r="Q100">
        <v>19</v>
      </c>
      <c r="R100">
        <v>98</v>
      </c>
      <c r="S100">
        <v>2</v>
      </c>
      <c r="T100">
        <v>2</v>
      </c>
      <c r="U100">
        <v>5</v>
      </c>
      <c r="V100">
        <v>56</v>
      </c>
      <c r="W100">
        <v>0</v>
      </c>
      <c r="X100" t="str">
        <v>No</v>
      </c>
      <c r="Y100" t="str">
        <v>No</v>
      </c>
      <c r="Z100" t="str">
        <v>Lakshmi S</v>
      </c>
    </row>
    <row r="101" spans="3:26" x14ac:dyDescent="0.35">
      <c r="C101" s="5" t="str">
        <v>E1155</v>
      </c>
      <c r="D101" t="str">
        <v>Lakshmi V</v>
      </c>
      <c r="E101" t="str">
        <v>Male</v>
      </c>
      <c r="F101" t="str">
        <v>IT</v>
      </c>
      <c r="G101" t="str">
        <v>Manager</v>
      </c>
      <c r="H101" t="str">
        <v>Hyderabad</v>
      </c>
      <c r="I101">
        <v>44068</v>
      </c>
      <c r="J101">
        <v>38219</v>
      </c>
      <c r="K101">
        <v>96415</v>
      </c>
      <c r="L101">
        <v>16561</v>
      </c>
      <c r="M101">
        <v>4907</v>
      </c>
      <c r="N101">
        <v>117883</v>
      </c>
      <c r="O101">
        <v>1414596</v>
      </c>
      <c r="P101">
        <v>5.0894570346937715E-2</v>
      </c>
      <c r="Q101">
        <v>13</v>
      </c>
      <c r="R101">
        <v>89</v>
      </c>
      <c r="S101">
        <v>3</v>
      </c>
      <c r="T101">
        <v>18</v>
      </c>
      <c r="U101">
        <v>12</v>
      </c>
      <c r="V101">
        <v>71</v>
      </c>
      <c r="W101">
        <v>0</v>
      </c>
      <c r="X101" t="str">
        <v>Yes</v>
      </c>
      <c r="Y101" t="str">
        <v>No</v>
      </c>
      <c r="Z101" t="str">
        <v>Priya M</v>
      </c>
    </row>
    <row r="102" spans="3:26" x14ac:dyDescent="0.35">
      <c r="C102" s="5" t="str">
        <v>E1162</v>
      </c>
      <c r="D102" t="str">
        <v>Meena K</v>
      </c>
      <c r="E102" t="str">
        <v>Male</v>
      </c>
      <c r="F102" t="str">
        <v>Operations</v>
      </c>
      <c r="G102" t="str">
        <v>Senior Analyst</v>
      </c>
      <c r="H102" t="str">
        <v>Hyderabad</v>
      </c>
      <c r="I102">
        <v>44055</v>
      </c>
      <c r="J102">
        <v>35321</v>
      </c>
      <c r="K102">
        <v>84291</v>
      </c>
      <c r="L102">
        <v>4933</v>
      </c>
      <c r="M102">
        <v>14003</v>
      </c>
      <c r="N102">
        <v>103227</v>
      </c>
      <c r="O102">
        <v>1238724</v>
      </c>
      <c r="P102">
        <v>0.16612687000984683</v>
      </c>
      <c r="Q102">
        <v>18</v>
      </c>
      <c r="R102">
        <v>99</v>
      </c>
      <c r="S102">
        <v>4</v>
      </c>
      <c r="T102">
        <v>53</v>
      </c>
      <c r="U102">
        <v>8</v>
      </c>
      <c r="V102">
        <v>82</v>
      </c>
      <c r="W102">
        <v>0</v>
      </c>
      <c r="X102" t="str">
        <v>No</v>
      </c>
      <c r="Y102" t="str">
        <v>Yes</v>
      </c>
      <c r="Z102" t="str">
        <v>Ravi Kumar</v>
      </c>
    </row>
    <row r="103" spans="3:26" x14ac:dyDescent="0.35">
      <c r="C103" s="5" t="str">
        <v>E1163</v>
      </c>
      <c r="D103" t="str">
        <v>Priya V</v>
      </c>
      <c r="E103" t="str">
        <v>Female</v>
      </c>
      <c r="F103" t="str">
        <v>Operations</v>
      </c>
      <c r="G103" t="str">
        <v>Senior Analyst</v>
      </c>
      <c r="H103" t="str">
        <v>Bengaluru</v>
      </c>
      <c r="I103">
        <v>42199</v>
      </c>
      <c r="J103">
        <v>37581</v>
      </c>
      <c r="K103">
        <v>73743</v>
      </c>
      <c r="L103">
        <v>3508</v>
      </c>
      <c r="M103">
        <v>5569</v>
      </c>
      <c r="N103">
        <v>82820</v>
      </c>
      <c r="O103">
        <v>993840</v>
      </c>
      <c r="P103">
        <v>7.5519032314931581E-2</v>
      </c>
      <c r="Q103">
        <v>3</v>
      </c>
      <c r="R103">
        <v>93</v>
      </c>
      <c r="S103">
        <v>2</v>
      </c>
      <c r="T103">
        <v>11</v>
      </c>
      <c r="U103">
        <v>24</v>
      </c>
      <c r="V103">
        <v>77</v>
      </c>
      <c r="W103">
        <v>0</v>
      </c>
      <c r="X103" t="str">
        <v>No</v>
      </c>
      <c r="Y103" t="str">
        <v>No</v>
      </c>
      <c r="Z103" t="str">
        <v>Ravi Kumar</v>
      </c>
    </row>
    <row r="104" spans="3:26" x14ac:dyDescent="0.35">
      <c r="C104" s="5" t="str">
        <v>E1164</v>
      </c>
      <c r="D104" t="str">
        <v>Rahul M</v>
      </c>
      <c r="E104" t="str">
        <v>Female</v>
      </c>
      <c r="F104" t="str">
        <v>Operations</v>
      </c>
      <c r="G104" t="str">
        <v>Team Lead</v>
      </c>
      <c r="H104" t="str">
        <v>Chennai</v>
      </c>
      <c r="I104">
        <v>43250</v>
      </c>
      <c r="J104">
        <v>36762</v>
      </c>
      <c r="K104">
        <v>65830</v>
      </c>
      <c r="L104">
        <v>11098</v>
      </c>
      <c r="M104">
        <v>10631</v>
      </c>
      <c r="N104">
        <v>87559</v>
      </c>
      <c r="O104">
        <v>1050708</v>
      </c>
      <c r="P104">
        <v>0.16149172109980253</v>
      </c>
      <c r="Q104">
        <v>3</v>
      </c>
      <c r="R104">
        <v>80</v>
      </c>
      <c r="S104">
        <v>5</v>
      </c>
      <c r="T104">
        <v>21</v>
      </c>
      <c r="U104">
        <v>21</v>
      </c>
      <c r="V104">
        <v>90</v>
      </c>
      <c r="W104">
        <v>0</v>
      </c>
      <c r="X104" t="str">
        <v>Yes</v>
      </c>
      <c r="Y104" t="str">
        <v>No</v>
      </c>
      <c r="Z104" t="str">
        <v>Ravi Kumar</v>
      </c>
    </row>
    <row r="105" spans="3:26" x14ac:dyDescent="0.35">
      <c r="C105" s="5" t="str">
        <v>E1167</v>
      </c>
      <c r="D105" t="str">
        <v>Meena P</v>
      </c>
      <c r="E105" t="str">
        <v>Female</v>
      </c>
      <c r="F105" t="str">
        <v>Marketing</v>
      </c>
      <c r="G105" t="str">
        <v>Executive</v>
      </c>
      <c r="H105" t="str">
        <v>Chennai</v>
      </c>
      <c r="I105">
        <v>44721</v>
      </c>
      <c r="J105">
        <v>31864</v>
      </c>
      <c r="K105">
        <v>92335</v>
      </c>
      <c r="L105">
        <v>12089</v>
      </c>
      <c r="M105">
        <v>12114</v>
      </c>
      <c r="N105">
        <v>116538</v>
      </c>
      <c r="O105">
        <v>1398456</v>
      </c>
      <c r="P105">
        <v>0.13119618779444414</v>
      </c>
      <c r="Q105">
        <v>12</v>
      </c>
      <c r="R105">
        <v>87</v>
      </c>
      <c r="S105">
        <v>5</v>
      </c>
      <c r="T105">
        <v>26</v>
      </c>
      <c r="U105">
        <v>8</v>
      </c>
      <c r="V105">
        <v>76</v>
      </c>
      <c r="W105">
        <v>0</v>
      </c>
      <c r="X105" t="str">
        <v>Yes</v>
      </c>
      <c r="Y105" t="str">
        <v>No</v>
      </c>
      <c r="Z105" t="str">
        <v>Divya R</v>
      </c>
    </row>
    <row r="106" spans="3:26" x14ac:dyDescent="0.35">
      <c r="C106" s="5" t="str">
        <v>E1168</v>
      </c>
      <c r="D106" t="str">
        <v>Keerthana S</v>
      </c>
      <c r="E106" t="str">
        <v>Male</v>
      </c>
      <c r="F106" t="str">
        <v>Operations</v>
      </c>
      <c r="G106" t="str">
        <v>Associate</v>
      </c>
      <c r="H106" t="str">
        <v>Chennai</v>
      </c>
      <c r="I106">
        <v>44382</v>
      </c>
      <c r="J106">
        <v>34686</v>
      </c>
      <c r="K106">
        <v>57868</v>
      </c>
      <c r="L106">
        <v>16508</v>
      </c>
      <c r="M106">
        <v>7345</v>
      </c>
      <c r="N106">
        <v>81721</v>
      </c>
      <c r="O106">
        <v>980652</v>
      </c>
      <c r="P106">
        <v>0.12692679892168382</v>
      </c>
      <c r="Q106">
        <v>1</v>
      </c>
      <c r="R106">
        <v>82</v>
      </c>
      <c r="S106">
        <v>1</v>
      </c>
      <c r="T106">
        <v>36</v>
      </c>
      <c r="U106">
        <v>13</v>
      </c>
      <c r="V106">
        <v>95</v>
      </c>
      <c r="W106">
        <v>0</v>
      </c>
      <c r="X106" t="str">
        <v>Yes</v>
      </c>
      <c r="Y106" t="str">
        <v>No</v>
      </c>
      <c r="Z106" t="str">
        <v>Lakshmi S</v>
      </c>
    </row>
    <row r="107" spans="3:26" x14ac:dyDescent="0.35">
      <c r="C107" s="5" t="str">
        <v>E1170</v>
      </c>
      <c r="D107" t="str">
        <v>Vijay V</v>
      </c>
      <c r="E107" t="str">
        <v>Male</v>
      </c>
      <c r="F107" t="str">
        <v>Sales</v>
      </c>
      <c r="G107" t="str">
        <v>Executive</v>
      </c>
      <c r="H107" t="str">
        <v>Coimbatore</v>
      </c>
      <c r="I107">
        <v>44091</v>
      </c>
      <c r="J107">
        <v>34439</v>
      </c>
      <c r="K107">
        <v>67527</v>
      </c>
      <c r="L107">
        <v>14829</v>
      </c>
      <c r="M107">
        <v>4883</v>
      </c>
      <c r="N107">
        <v>87239</v>
      </c>
      <c r="O107">
        <v>1046868</v>
      </c>
      <c r="P107">
        <v>7.2311816014335006E-2</v>
      </c>
      <c r="Q107">
        <v>11</v>
      </c>
      <c r="R107">
        <v>90</v>
      </c>
      <c r="S107">
        <v>3</v>
      </c>
      <c r="T107">
        <v>18</v>
      </c>
      <c r="U107">
        <v>12</v>
      </c>
      <c r="V107">
        <v>94</v>
      </c>
      <c r="W107">
        <v>0</v>
      </c>
      <c r="X107" t="str">
        <v>No</v>
      </c>
      <c r="Y107" t="str">
        <v>No</v>
      </c>
      <c r="Z107" t="str">
        <v>Lakshmi S</v>
      </c>
    </row>
    <row r="108" spans="3:26" x14ac:dyDescent="0.35">
      <c r="C108" s="5" t="str">
        <v>E1171</v>
      </c>
      <c r="D108" t="str">
        <v>Priya K</v>
      </c>
      <c r="E108" t="str">
        <v>Male</v>
      </c>
      <c r="F108" t="str">
        <v>Sales</v>
      </c>
      <c r="G108" t="str">
        <v>Associate</v>
      </c>
      <c r="H108" t="str">
        <v>Coimbatore</v>
      </c>
      <c r="I108">
        <v>44329</v>
      </c>
      <c r="J108">
        <v>29445</v>
      </c>
      <c r="K108">
        <v>96527</v>
      </c>
      <c r="L108">
        <v>14380</v>
      </c>
      <c r="M108">
        <v>2602</v>
      </c>
      <c r="N108">
        <v>113509</v>
      </c>
      <c r="O108">
        <v>1362108</v>
      </c>
      <c r="P108">
        <v>2.6956188423964279E-2</v>
      </c>
      <c r="Q108">
        <v>13</v>
      </c>
      <c r="R108">
        <v>80</v>
      </c>
      <c r="S108">
        <v>4</v>
      </c>
      <c r="T108">
        <v>21</v>
      </c>
      <c r="U108">
        <v>17</v>
      </c>
      <c r="V108">
        <v>74</v>
      </c>
      <c r="W108">
        <v>0</v>
      </c>
      <c r="X108" t="str">
        <v>Yes</v>
      </c>
      <c r="Y108" t="str">
        <v>No</v>
      </c>
      <c r="Z108" t="str">
        <v>Divya R</v>
      </c>
    </row>
    <row r="109" spans="3:26" x14ac:dyDescent="0.35">
      <c r="C109" s="5" t="str">
        <v>E1172</v>
      </c>
      <c r="D109" t="str">
        <v>Divya V</v>
      </c>
      <c r="E109" t="str">
        <v>Male</v>
      </c>
      <c r="F109" t="str">
        <v>Operations</v>
      </c>
      <c r="G109" t="str">
        <v>Associate</v>
      </c>
      <c r="H109" t="str">
        <v>Chennai</v>
      </c>
      <c r="I109">
        <v>45803</v>
      </c>
      <c r="J109">
        <v>31116</v>
      </c>
      <c r="K109">
        <v>74457</v>
      </c>
      <c r="L109">
        <v>3253</v>
      </c>
      <c r="M109">
        <v>4802</v>
      </c>
      <c r="N109">
        <v>82512</v>
      </c>
      <c r="O109">
        <v>990144</v>
      </c>
      <c r="P109">
        <v>6.4493600333078147E-2</v>
      </c>
      <c r="Q109">
        <v>8</v>
      </c>
      <c r="R109">
        <v>88</v>
      </c>
      <c r="S109">
        <v>4</v>
      </c>
      <c r="T109">
        <v>33</v>
      </c>
      <c r="U109">
        <v>10</v>
      </c>
      <c r="V109">
        <v>79</v>
      </c>
      <c r="W109">
        <v>0</v>
      </c>
      <c r="X109" t="str">
        <v>No</v>
      </c>
      <c r="Y109" t="str">
        <v>No</v>
      </c>
      <c r="Z109" t="str">
        <v>Priya M</v>
      </c>
    </row>
    <row r="110" spans="3:26" x14ac:dyDescent="0.35">
      <c r="C110" s="5" t="str">
        <v>E1173</v>
      </c>
      <c r="D110" t="str">
        <v>Anitha P</v>
      </c>
      <c r="E110" t="str">
        <v>Female</v>
      </c>
      <c r="F110" t="str">
        <v>Operations</v>
      </c>
      <c r="G110" t="str">
        <v>Team Lead</v>
      </c>
      <c r="H110" t="str">
        <v>Bengaluru</v>
      </c>
      <c r="I110">
        <v>43543</v>
      </c>
      <c r="J110">
        <v>36803</v>
      </c>
      <c r="K110">
        <v>84048</v>
      </c>
      <c r="L110">
        <v>3126</v>
      </c>
      <c r="M110">
        <v>3594</v>
      </c>
      <c r="N110">
        <v>90768</v>
      </c>
      <c r="O110">
        <v>1089216</v>
      </c>
      <c r="P110">
        <v>4.276127926898915E-2</v>
      </c>
      <c r="Q110">
        <v>13</v>
      </c>
      <c r="R110">
        <v>85</v>
      </c>
      <c r="S110">
        <v>1</v>
      </c>
      <c r="T110">
        <v>34</v>
      </c>
      <c r="U110">
        <v>14</v>
      </c>
      <c r="V110">
        <v>100</v>
      </c>
      <c r="W110">
        <v>0</v>
      </c>
      <c r="X110" t="str">
        <v>Yes</v>
      </c>
      <c r="Y110" t="str">
        <v>No</v>
      </c>
      <c r="Z110" t="str">
        <v>Karthik V</v>
      </c>
    </row>
    <row r="111" spans="3:26" x14ac:dyDescent="0.35">
      <c r="C111" s="5" t="str">
        <v>E1176</v>
      </c>
      <c r="D111" t="str">
        <v>Karthik R</v>
      </c>
      <c r="E111" t="str">
        <v>Female</v>
      </c>
      <c r="F111" t="str">
        <v>Marketing</v>
      </c>
      <c r="G111" t="str">
        <v>Executive</v>
      </c>
      <c r="H111" t="str">
        <v>Bengaluru</v>
      </c>
      <c r="I111">
        <v>42252</v>
      </c>
      <c r="J111">
        <v>35236</v>
      </c>
      <c r="K111">
        <v>94655</v>
      </c>
      <c r="L111">
        <v>11178</v>
      </c>
      <c r="M111">
        <v>13473</v>
      </c>
      <c r="N111">
        <v>119306</v>
      </c>
      <c r="O111">
        <v>1431672</v>
      </c>
      <c r="P111">
        <v>0.14233796418572711</v>
      </c>
      <c r="Q111">
        <v>6</v>
      </c>
      <c r="R111">
        <v>89</v>
      </c>
      <c r="S111">
        <v>4</v>
      </c>
      <c r="T111">
        <v>40</v>
      </c>
      <c r="U111">
        <v>4</v>
      </c>
      <c r="V111">
        <v>58</v>
      </c>
      <c r="W111">
        <v>0</v>
      </c>
      <c r="X111" t="str">
        <v>No</v>
      </c>
      <c r="Y111" t="str">
        <v>No</v>
      </c>
      <c r="Z111" t="str">
        <v>Ravi Kumar</v>
      </c>
    </row>
    <row r="112" spans="3:26" x14ac:dyDescent="0.35">
      <c r="C112" s="5" t="str">
        <v>E1178</v>
      </c>
      <c r="D112" t="str">
        <v>Meena R</v>
      </c>
      <c r="E112" t="str">
        <v>Male</v>
      </c>
      <c r="F112" t="str">
        <v>Finance</v>
      </c>
      <c r="G112" t="str">
        <v>Associate</v>
      </c>
      <c r="H112" t="str">
        <v>Mumbai</v>
      </c>
      <c r="I112">
        <v>43264</v>
      </c>
      <c r="J112">
        <v>37830</v>
      </c>
      <c r="K112">
        <v>72152</v>
      </c>
      <c r="L112">
        <v>17690</v>
      </c>
      <c r="M112">
        <v>12861</v>
      </c>
      <c r="N112">
        <v>102703</v>
      </c>
      <c r="O112">
        <v>1232436</v>
      </c>
      <c r="P112">
        <v>0.17824869719481096</v>
      </c>
      <c r="Q112">
        <v>5</v>
      </c>
      <c r="R112">
        <v>81</v>
      </c>
      <c r="S112">
        <v>3</v>
      </c>
      <c r="T112">
        <v>52</v>
      </c>
      <c r="U112">
        <v>9</v>
      </c>
      <c r="V112">
        <v>97</v>
      </c>
      <c r="W112">
        <v>0</v>
      </c>
      <c r="X112" t="str">
        <v>No</v>
      </c>
      <c r="Y112" t="str">
        <v>No</v>
      </c>
      <c r="Z112" t="str">
        <v>Manoj P</v>
      </c>
    </row>
    <row r="113" spans="1:26" x14ac:dyDescent="0.35">
      <c r="C113" s="5" t="str">
        <v>E1185</v>
      </c>
      <c r="D113" t="str">
        <v>Divya K</v>
      </c>
      <c r="E113" t="str">
        <v>Female</v>
      </c>
      <c r="F113" t="str">
        <v>HR</v>
      </c>
      <c r="G113" t="str">
        <v>Manager</v>
      </c>
      <c r="H113" t="str">
        <v>Coimbatore</v>
      </c>
      <c r="I113">
        <v>43404</v>
      </c>
      <c r="J113">
        <v>31192</v>
      </c>
      <c r="K113">
        <v>75062</v>
      </c>
      <c r="L113">
        <v>10560</v>
      </c>
      <c r="M113">
        <v>2612</v>
      </c>
      <c r="N113">
        <v>88234</v>
      </c>
      <c r="O113">
        <v>1058808</v>
      </c>
      <c r="P113">
        <v>3.4797900402334069E-2</v>
      </c>
      <c r="Q113">
        <v>13</v>
      </c>
      <c r="R113">
        <v>100</v>
      </c>
      <c r="S113">
        <v>1</v>
      </c>
      <c r="T113">
        <v>53</v>
      </c>
      <c r="U113">
        <v>9</v>
      </c>
      <c r="V113">
        <v>88</v>
      </c>
      <c r="W113">
        <v>0</v>
      </c>
      <c r="X113" t="str">
        <v>No</v>
      </c>
      <c r="Y113" t="str">
        <v>No</v>
      </c>
      <c r="Z113" t="str">
        <v>Manoj P</v>
      </c>
    </row>
    <row r="114" spans="1:26" x14ac:dyDescent="0.35">
      <c r="C114" s="5" t="str">
        <v>E1190</v>
      </c>
      <c r="D114" t="str">
        <v>Kumar V</v>
      </c>
      <c r="E114" t="str">
        <v>Male</v>
      </c>
      <c r="F114" t="str">
        <v>Marketing</v>
      </c>
      <c r="G114" t="str">
        <v>Team Lead</v>
      </c>
      <c r="H114" t="str">
        <v>Mumbai</v>
      </c>
      <c r="I114">
        <v>44376</v>
      </c>
      <c r="J114">
        <v>34830</v>
      </c>
      <c r="K114">
        <v>60025</v>
      </c>
      <c r="L114">
        <v>6861</v>
      </c>
      <c r="M114">
        <v>14502</v>
      </c>
      <c r="N114">
        <v>81388</v>
      </c>
      <c r="O114">
        <v>976656</v>
      </c>
      <c r="P114">
        <v>0.24159933361099542</v>
      </c>
      <c r="Q114">
        <v>6</v>
      </c>
      <c r="R114">
        <v>89</v>
      </c>
      <c r="S114">
        <v>4</v>
      </c>
      <c r="T114">
        <v>67</v>
      </c>
      <c r="U114">
        <v>5</v>
      </c>
      <c r="V114">
        <v>80</v>
      </c>
      <c r="W114">
        <v>0</v>
      </c>
      <c r="X114" t="str">
        <v>Yes</v>
      </c>
      <c r="Y114" t="str">
        <v>No</v>
      </c>
      <c r="Z114" t="str">
        <v>Priya M</v>
      </c>
    </row>
    <row r="115" spans="1:26" x14ac:dyDescent="0.35">
      <c r="C115" s="5" t="str">
        <v>E1194</v>
      </c>
      <c r="D115" t="str">
        <v>Lakshmi K</v>
      </c>
      <c r="E115" t="str">
        <v>Female</v>
      </c>
      <c r="F115" t="str">
        <v>HR</v>
      </c>
      <c r="G115" t="str">
        <v>Analyst</v>
      </c>
      <c r="H115" t="str">
        <v>Coimbatore</v>
      </c>
      <c r="I115">
        <v>43203</v>
      </c>
      <c r="J115">
        <v>29620</v>
      </c>
      <c r="K115">
        <v>89735</v>
      </c>
      <c r="L115">
        <v>7219</v>
      </c>
      <c r="M115">
        <v>2004</v>
      </c>
      <c r="N115">
        <v>98958</v>
      </c>
      <c r="O115">
        <v>1187496</v>
      </c>
      <c r="P115">
        <v>2.2332423246224996E-2</v>
      </c>
      <c r="Q115">
        <v>7</v>
      </c>
      <c r="R115">
        <v>97</v>
      </c>
      <c r="S115">
        <v>1</v>
      </c>
      <c r="T115">
        <v>57</v>
      </c>
      <c r="U115">
        <v>10</v>
      </c>
      <c r="V115">
        <v>90</v>
      </c>
      <c r="W115">
        <v>0</v>
      </c>
      <c r="X115" t="str">
        <v>Yes</v>
      </c>
      <c r="Y115" t="str">
        <v>No</v>
      </c>
      <c r="Z115" t="str">
        <v>Ravi Kumar</v>
      </c>
    </row>
    <row r="116" spans="1:26" x14ac:dyDescent="0.35">
      <c r="C116" s="5" t="str">
        <v>E1196</v>
      </c>
      <c r="D116" t="str">
        <v>Vijay R</v>
      </c>
      <c r="E116" t="str">
        <v>Female</v>
      </c>
      <c r="F116" t="str">
        <v>IT</v>
      </c>
      <c r="G116" t="str">
        <v>Analyst</v>
      </c>
      <c r="H116" t="str">
        <v>Coimbatore</v>
      </c>
      <c r="I116">
        <v>44208</v>
      </c>
      <c r="J116">
        <v>32526</v>
      </c>
      <c r="K116">
        <v>95696</v>
      </c>
      <c r="L116">
        <v>10762</v>
      </c>
      <c r="M116">
        <v>8088</v>
      </c>
      <c r="N116">
        <v>114546</v>
      </c>
      <c r="O116">
        <v>1374552</v>
      </c>
      <c r="P116">
        <v>8.451763919077078E-2</v>
      </c>
      <c r="Q116">
        <v>19</v>
      </c>
      <c r="R116">
        <v>83</v>
      </c>
      <c r="S116">
        <v>1</v>
      </c>
      <c r="T116">
        <v>76</v>
      </c>
      <c r="U116">
        <v>16</v>
      </c>
      <c r="V116">
        <v>62</v>
      </c>
      <c r="W116">
        <v>0</v>
      </c>
      <c r="X116" t="str">
        <v>No</v>
      </c>
      <c r="Y116" t="str">
        <v>No</v>
      </c>
      <c r="Z116" t="str">
        <v>Ravi Kumar</v>
      </c>
    </row>
    <row r="117" spans="1:26" x14ac:dyDescent="0.35">
      <c r="C117" s="5" t="str">
        <v>E1198</v>
      </c>
      <c r="D117" t="str">
        <v>Arjun S</v>
      </c>
      <c r="E117" t="str">
        <v>Female</v>
      </c>
      <c r="F117" t="str">
        <v>Finance</v>
      </c>
      <c r="G117" t="str">
        <v>Analyst</v>
      </c>
      <c r="H117" t="str">
        <v>Hyderabad</v>
      </c>
      <c r="I117">
        <v>45100</v>
      </c>
      <c r="J117">
        <v>31222</v>
      </c>
      <c r="K117">
        <v>89281</v>
      </c>
      <c r="L117">
        <v>11112</v>
      </c>
      <c r="M117">
        <v>3034</v>
      </c>
      <c r="N117">
        <v>103427</v>
      </c>
      <c r="O117">
        <v>1241124</v>
      </c>
      <c r="P117">
        <v>3.3982594280978037E-2</v>
      </c>
      <c r="Q117">
        <v>16</v>
      </c>
      <c r="R117">
        <v>99</v>
      </c>
      <c r="S117">
        <v>5</v>
      </c>
      <c r="T117">
        <v>1</v>
      </c>
      <c r="U117">
        <v>2</v>
      </c>
      <c r="V117">
        <v>71</v>
      </c>
      <c r="W117">
        <v>0</v>
      </c>
      <c r="X117" t="str">
        <v>No</v>
      </c>
      <c r="Y117" t="str">
        <v>Yes</v>
      </c>
      <c r="Z117" t="str">
        <v>Manoj P</v>
      </c>
    </row>
    <row r="118" spans="1:26" x14ac:dyDescent="0.35">
      <c r="C118" s="5" t="str">
        <v>E1199</v>
      </c>
      <c r="D118" t="str">
        <v>Nisha M</v>
      </c>
      <c r="E118" t="str">
        <v>Female</v>
      </c>
      <c r="F118" t="str">
        <v>HR</v>
      </c>
      <c r="G118" t="str">
        <v>Senior Analyst</v>
      </c>
      <c r="H118" t="str">
        <v>Madurai</v>
      </c>
      <c r="I118">
        <v>45524</v>
      </c>
      <c r="J118">
        <v>31983</v>
      </c>
      <c r="K118">
        <v>83226</v>
      </c>
      <c r="L118">
        <v>4643</v>
      </c>
      <c r="M118">
        <v>3808</v>
      </c>
      <c r="N118">
        <v>91677</v>
      </c>
      <c r="O118">
        <v>1100124</v>
      </c>
      <c r="P118">
        <v>4.5754932352870495E-2</v>
      </c>
      <c r="Q118">
        <v>10</v>
      </c>
      <c r="R118">
        <v>87</v>
      </c>
      <c r="S118">
        <v>2</v>
      </c>
      <c r="T118">
        <v>30</v>
      </c>
      <c r="U118">
        <v>19</v>
      </c>
      <c r="V118">
        <v>78</v>
      </c>
      <c r="W118">
        <v>0</v>
      </c>
      <c r="X118" t="str">
        <v>No</v>
      </c>
      <c r="Y118" t="str">
        <v>No</v>
      </c>
      <c r="Z118" t="str">
        <v>Divya R</v>
      </c>
    </row>
    <row r="119" spans="1:26" x14ac:dyDescent="0.35">
      <c r="A119">
        <v>20</v>
      </c>
      <c r="B119" s="4" t="s">
        <v>363</v>
      </c>
      <c r="C119" s="5">
        <f>AVERAGE(emp_data!T2:T201)</f>
        <v>75.734999999999999</v>
      </c>
    </row>
    <row r="120" spans="1:26" x14ac:dyDescent="0.35">
      <c r="A120">
        <v>21</v>
      </c>
      <c r="B120" s="4" t="s">
        <v>364</v>
      </c>
      <c r="C120" s="5" t="str">
        <f>_xlfn.LET(
_xlpm.Score,emp_data!T2:T201,
_xlpm.EmpName,emp_data!B2:B201,
INDEX(_xlpm.EmpName,MATCH(MAX(_xlpm.Score),_xlpm.Score,0))
)</f>
        <v>Asha K</v>
      </c>
    </row>
    <row r="121" spans="1:26" x14ac:dyDescent="0.35">
      <c r="A121">
        <v>22</v>
      </c>
      <c r="B121" s="4" t="s">
        <v>365</v>
      </c>
      <c r="C121" s="5" t="str">
        <f>_xlfn.LET(
_xlpm.Score,emp_data!T2:T201,
_xlpm.EmpName,emp_data!B2:B201,
INDEX(_xlpm.EmpName,MATCH(MIN(_xlpm.Score),_xlpm.Score,0))
)</f>
        <v>Priya V</v>
      </c>
    </row>
    <row r="122" spans="1:26" x14ac:dyDescent="0.35">
      <c r="A122">
        <v>23</v>
      </c>
      <c r="B122" s="4" t="s">
        <v>371</v>
      </c>
      <c r="C122" s="6" t="str" cm="1">
        <f t="array" ref="C122:C164">_xlfn.LET(_xlpm.emp_id, emp_data!A2:A201, _xlpm.rating, emp_data!T2:T201, _xlfn._xlws.FILTER(_xlpm.emp_id &amp; " - " &amp;_xlpm.rating &amp; " %", _xlpm.rating&gt;90,"No Top Performer"))</f>
        <v>E1008 - 95 %</v>
      </c>
    </row>
    <row r="123" spans="1:26" x14ac:dyDescent="0.35">
      <c r="C123" s="6" t="str">
        <v>E1014 - 99 %</v>
      </c>
    </row>
    <row r="124" spans="1:26" x14ac:dyDescent="0.35">
      <c r="C124" s="7" t="str">
        <v>E1023 - 96 %</v>
      </c>
    </row>
    <row r="125" spans="1:26" x14ac:dyDescent="0.35">
      <c r="C125" s="6" t="str">
        <v>E1024 - 98 %</v>
      </c>
    </row>
    <row r="126" spans="1:26" x14ac:dyDescent="0.35">
      <c r="C126" s="5" t="str">
        <v>E1029 - 93 %</v>
      </c>
    </row>
    <row r="127" spans="1:26" x14ac:dyDescent="0.35">
      <c r="C127" s="5" t="str">
        <v>E1031 - 100 %</v>
      </c>
    </row>
    <row r="128" spans="1:26" x14ac:dyDescent="0.35">
      <c r="C128" s="5" t="str">
        <v>E1034 - 92 %</v>
      </c>
    </row>
    <row r="129" spans="3:3" x14ac:dyDescent="0.35">
      <c r="C129" s="5" t="str">
        <v>E1041 - 93 %</v>
      </c>
    </row>
    <row r="130" spans="3:3" x14ac:dyDescent="0.35">
      <c r="C130" s="5" t="str">
        <v>E1056 - 97 %</v>
      </c>
    </row>
    <row r="131" spans="3:3" x14ac:dyDescent="0.35">
      <c r="C131" s="5" t="str">
        <v>E1057 - 93 %</v>
      </c>
    </row>
    <row r="132" spans="3:3" x14ac:dyDescent="0.35">
      <c r="C132" s="5" t="str">
        <v>E1062 - 93 %</v>
      </c>
    </row>
    <row r="133" spans="3:3" x14ac:dyDescent="0.35">
      <c r="C133" s="5" t="str">
        <v>E1065 - 100 %</v>
      </c>
    </row>
    <row r="134" spans="3:3" x14ac:dyDescent="0.35">
      <c r="C134" s="5" t="str">
        <v>E1069 - 95 %</v>
      </c>
    </row>
    <row r="135" spans="3:3" x14ac:dyDescent="0.35">
      <c r="C135" s="5" t="str">
        <v>E1073 - 92 %</v>
      </c>
    </row>
    <row r="136" spans="3:3" x14ac:dyDescent="0.35">
      <c r="C136" s="5" t="str">
        <v>E1078 - 93 %</v>
      </c>
    </row>
    <row r="137" spans="3:3" x14ac:dyDescent="0.35">
      <c r="C137" s="5" t="str">
        <v>E1080 - 97 %</v>
      </c>
    </row>
    <row r="138" spans="3:3" x14ac:dyDescent="0.35">
      <c r="C138" s="5" t="str">
        <v>E1088 - 98 %</v>
      </c>
    </row>
    <row r="139" spans="3:3" x14ac:dyDescent="0.35">
      <c r="C139" s="5" t="str">
        <v>E1095 - 91 %</v>
      </c>
    </row>
    <row r="140" spans="3:3" x14ac:dyDescent="0.35">
      <c r="C140" s="5" t="str">
        <v>E1100 - 93 %</v>
      </c>
    </row>
    <row r="141" spans="3:3" x14ac:dyDescent="0.35">
      <c r="C141" s="5" t="str">
        <v>E1102 - 92 %</v>
      </c>
    </row>
    <row r="142" spans="3:3" x14ac:dyDescent="0.35">
      <c r="C142" s="5" t="str">
        <v>E1108 - 98 %</v>
      </c>
    </row>
    <row r="143" spans="3:3" x14ac:dyDescent="0.35">
      <c r="C143" s="5" t="str">
        <v>E1109 - 94 %</v>
      </c>
    </row>
    <row r="144" spans="3:3" x14ac:dyDescent="0.35">
      <c r="C144" s="5" t="str">
        <v>E1112 - 91 %</v>
      </c>
    </row>
    <row r="145" spans="3:3" x14ac:dyDescent="0.35">
      <c r="C145" s="5" t="str">
        <v>E1115 - 99 %</v>
      </c>
    </row>
    <row r="146" spans="3:3" x14ac:dyDescent="0.35">
      <c r="C146" s="5" t="str">
        <v>E1122 - 98 %</v>
      </c>
    </row>
    <row r="147" spans="3:3" x14ac:dyDescent="0.35">
      <c r="C147" s="5" t="str">
        <v>E1127 - 98 %</v>
      </c>
    </row>
    <row r="148" spans="3:3" x14ac:dyDescent="0.35">
      <c r="C148" s="5" t="str">
        <v>E1128 - 95 %</v>
      </c>
    </row>
    <row r="149" spans="3:3" x14ac:dyDescent="0.35">
      <c r="C149" s="5" t="str">
        <v>E1138 - 91 %</v>
      </c>
    </row>
    <row r="150" spans="3:3" x14ac:dyDescent="0.35">
      <c r="C150" s="5" t="str">
        <v>E1143 - 91 %</v>
      </c>
    </row>
    <row r="151" spans="3:3" x14ac:dyDescent="0.35">
      <c r="C151" s="5" t="str">
        <v>E1145 - 96 %</v>
      </c>
    </row>
    <row r="152" spans="3:3" x14ac:dyDescent="0.35">
      <c r="C152" s="5" t="str">
        <v>E1147 - 94 %</v>
      </c>
    </row>
    <row r="153" spans="3:3" x14ac:dyDescent="0.35">
      <c r="C153" s="5" t="str">
        <v>E1151 - 95 %</v>
      </c>
    </row>
    <row r="154" spans="3:3" x14ac:dyDescent="0.35">
      <c r="C154" s="5" t="str">
        <v>E1153 - 96 %</v>
      </c>
    </row>
    <row r="155" spans="3:3" x14ac:dyDescent="0.35">
      <c r="C155" s="5" t="str">
        <v>E1159 - 98 %</v>
      </c>
    </row>
    <row r="156" spans="3:3" x14ac:dyDescent="0.35">
      <c r="C156" s="5" t="str">
        <v>E1165 - 91 %</v>
      </c>
    </row>
    <row r="157" spans="3:3" x14ac:dyDescent="0.35">
      <c r="C157" s="5" t="str">
        <v>E1168 - 95 %</v>
      </c>
    </row>
    <row r="158" spans="3:3" x14ac:dyDescent="0.35">
      <c r="C158" s="5" t="str">
        <v>E1170 - 94 %</v>
      </c>
    </row>
    <row r="159" spans="3:3" x14ac:dyDescent="0.35">
      <c r="C159" s="5" t="str">
        <v>E1173 - 100 %</v>
      </c>
    </row>
    <row r="160" spans="3:3" x14ac:dyDescent="0.35">
      <c r="C160" s="5" t="str">
        <v>E1178 - 97 %</v>
      </c>
    </row>
    <row r="161" spans="1:3" x14ac:dyDescent="0.35">
      <c r="C161" s="5" t="str">
        <v>E1181 - 98 %</v>
      </c>
    </row>
    <row r="162" spans="1:3" x14ac:dyDescent="0.35">
      <c r="C162" s="5" t="str">
        <v>E1183 - 93 %</v>
      </c>
    </row>
    <row r="163" spans="1:3" x14ac:dyDescent="0.35">
      <c r="C163" s="5" t="str">
        <v>E1189 - 100 %</v>
      </c>
    </row>
    <row r="164" spans="1:3" x14ac:dyDescent="0.35">
      <c r="C164" s="5" t="str">
        <v>E1195 - 94 %</v>
      </c>
    </row>
    <row r="172" spans="1:3" ht="29" x14ac:dyDescent="0.35">
      <c r="A172">
        <v>24</v>
      </c>
      <c r="B172" s="4" t="s">
        <v>366</v>
      </c>
      <c r="C172" s="5" t="str" cm="1">
        <f t="array" ref="C172:C184">_xlfn.LET(_xlpm.emp_id, emp_data!A2:A201, _xlpm.att, emp_data!P2:P201, _xlfn._xlws.FILTER(_xlpm.emp_id &amp; " - " &amp; _xlpm.att &amp; " % ", _xlpm.att&gt;98, "Not Regular"))</f>
        <v xml:space="preserve">E1032 - 99 % </v>
      </c>
    </row>
    <row r="173" spans="1:3" x14ac:dyDescent="0.35">
      <c r="C173" s="5" t="str">
        <v xml:space="preserve">E1041 - 100 % </v>
      </c>
    </row>
    <row r="174" spans="1:3" x14ac:dyDescent="0.35">
      <c r="C174" s="5" t="str">
        <v xml:space="preserve">E1042 - 100 % </v>
      </c>
    </row>
    <row r="175" spans="1:3" x14ac:dyDescent="0.35">
      <c r="C175" s="5" t="str">
        <v xml:space="preserve">E1043 - 100 % </v>
      </c>
    </row>
    <row r="176" spans="1:3" x14ac:dyDescent="0.35">
      <c r="C176" s="5" t="str">
        <v xml:space="preserve">E1060 - 100 % </v>
      </c>
    </row>
    <row r="177" spans="1:3" x14ac:dyDescent="0.35">
      <c r="C177" s="5" t="str">
        <v xml:space="preserve">E1075 - 99 % </v>
      </c>
    </row>
    <row r="178" spans="1:3" x14ac:dyDescent="0.35">
      <c r="C178" s="5" t="str">
        <v xml:space="preserve">E1079 - 100 % </v>
      </c>
    </row>
    <row r="179" spans="1:3" x14ac:dyDescent="0.35">
      <c r="C179" s="5" t="str">
        <v xml:space="preserve">E1090 - 99 % </v>
      </c>
    </row>
    <row r="180" spans="1:3" x14ac:dyDescent="0.35">
      <c r="C180" s="5" t="str">
        <v xml:space="preserve">E1141 - 99 % </v>
      </c>
    </row>
    <row r="181" spans="1:3" x14ac:dyDescent="0.35">
      <c r="C181" s="5" t="str">
        <v xml:space="preserve">E1162 - 99 % </v>
      </c>
    </row>
    <row r="182" spans="1:3" x14ac:dyDescent="0.35">
      <c r="C182" s="5" t="str">
        <v xml:space="preserve">E1185 - 100 % </v>
      </c>
    </row>
    <row r="183" spans="1:3" x14ac:dyDescent="0.35">
      <c r="C183" s="5" t="str">
        <v xml:space="preserve">E1192 - 100 % </v>
      </c>
    </row>
    <row r="184" spans="1:3" x14ac:dyDescent="0.35">
      <c r="C184" s="5" t="str">
        <v xml:space="preserve">E1198 - 99 % </v>
      </c>
    </row>
    <row r="187" spans="1:3" x14ac:dyDescent="0.35">
      <c r="A187">
        <v>25</v>
      </c>
      <c r="B187" s="4" t="s">
        <v>367</v>
      </c>
      <c r="C187" s="7">
        <f>AVERAGE(emp_data!P2:P201)</f>
        <v>89.344999999999999</v>
      </c>
    </row>
    <row r="188" spans="1:3" x14ac:dyDescent="0.35">
      <c r="C188" s="7"/>
    </row>
    <row r="189" spans="1:3" x14ac:dyDescent="0.35">
      <c r="A189">
        <v>26</v>
      </c>
      <c r="B189" s="4" t="s">
        <v>368</v>
      </c>
      <c r="C189" s="5" t="str" cm="1">
        <f t="array" ref="C189:C198">_xlfn.LET(_xlpm.emp_id, emp_data!A2:A201, _xlpm.att, emp_data!P2:P201, _xlfn._xlws.FILTER(_xlpm.emp_id &amp; " - " &amp; _xlpm.att &amp; " % ", _xlpm.att&lt;=80, "Not Regular"))</f>
        <v xml:space="preserve">E1005 - 80 % </v>
      </c>
    </row>
    <row r="190" spans="1:3" x14ac:dyDescent="0.35">
      <c r="C190" s="5" t="str">
        <v xml:space="preserve">E1008 - 80 % </v>
      </c>
    </row>
    <row r="191" spans="1:3" x14ac:dyDescent="0.35">
      <c r="C191" s="5" t="str">
        <v xml:space="preserve">E1025 - 80 % </v>
      </c>
    </row>
    <row r="192" spans="1:3" x14ac:dyDescent="0.35">
      <c r="C192" s="5" t="str">
        <v xml:space="preserve">E1030 - 80 % </v>
      </c>
    </row>
    <row r="193" spans="1:3" x14ac:dyDescent="0.35">
      <c r="C193" s="5" t="str">
        <v xml:space="preserve">E1087 - 80 % </v>
      </c>
    </row>
    <row r="194" spans="1:3" x14ac:dyDescent="0.35">
      <c r="C194" s="5" t="str">
        <v xml:space="preserve">E1095 - 80 % </v>
      </c>
    </row>
    <row r="195" spans="1:3" x14ac:dyDescent="0.35">
      <c r="C195" s="5" t="str">
        <v xml:space="preserve">E1140 - 80 % </v>
      </c>
    </row>
    <row r="196" spans="1:3" x14ac:dyDescent="0.35">
      <c r="C196" s="5" t="str">
        <v xml:space="preserve">E1143 - 80 % </v>
      </c>
    </row>
    <row r="197" spans="1:3" x14ac:dyDescent="0.35">
      <c r="C197" s="5" t="str">
        <v xml:space="preserve">E1164 - 80 % </v>
      </c>
    </row>
    <row r="198" spans="1:3" x14ac:dyDescent="0.35">
      <c r="C198" s="5" t="str">
        <v xml:space="preserve">E1171 - 80 % </v>
      </c>
    </row>
    <row r="204" spans="1:3" x14ac:dyDescent="0.35">
      <c r="A204">
        <v>27</v>
      </c>
      <c r="B204" s="4" t="s">
        <v>369</v>
      </c>
      <c r="C204" s="5" t="str" cm="1">
        <f t="array" ref="C204:C205">_xlfn.LET(_xlpm.emp_id, emp_data!A2:A201, _xlpm.att, emp_data!P2:P201, _xlpm.performance, emp_data!T2:T201, _xlfn._xlws.FILTER(_xlpm.emp_id &amp; "- Performance : " &amp; _xlpm.performance &amp; " % - Attendance : " &amp;_xlpm.att &amp; " %", (_xlpm.att&gt;95) * (_xlpm.performance&gt;=95), "No Employees Found"))</f>
        <v>E1115- Performance : 99 % - Attendance : 96 %</v>
      </c>
    </row>
    <row r="205" spans="1:3" x14ac:dyDescent="0.35">
      <c r="C205" s="5" t="str">
        <v>E1151- Performance : 95 % - Attendance : 98 %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DAF53-5860-486D-9595-7F2D61270E70}">
  <dimension ref="A1:C3"/>
  <sheetViews>
    <sheetView zoomScale="175" zoomScaleNormal="175" workbookViewId="0">
      <selection activeCell="C4" sqref="C4"/>
    </sheetView>
  </sheetViews>
  <sheetFormatPr defaultRowHeight="14.5" x14ac:dyDescent="0.35"/>
  <cols>
    <col min="1" max="1" width="3" bestFit="1" customWidth="1"/>
    <col min="2" max="2" width="70.1796875" style="4" customWidth="1"/>
    <col min="3" max="3" width="8.1796875" style="5" customWidth="1"/>
  </cols>
  <sheetData>
    <row r="1" spans="1:3" x14ac:dyDescent="0.35">
      <c r="A1">
        <v>1</v>
      </c>
      <c r="B1" s="4" t="s">
        <v>348</v>
      </c>
      <c r="C1" s="12">
        <f>COUNTA(emp_data!A2:A201)</f>
        <v>200</v>
      </c>
    </row>
    <row r="3" spans="1:3" x14ac:dyDescent="0.35">
      <c r="C3" s="5">
        <f>COUNTA(emp_data!B2:B201)</f>
        <v>200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58BC4-D6A8-4DE9-BDC5-522E932CCC6A}">
  <dimension ref="A1:C3"/>
  <sheetViews>
    <sheetView zoomScale="175" zoomScaleNormal="175" workbookViewId="0">
      <selection activeCell="C4" sqref="C4"/>
    </sheetView>
  </sheetViews>
  <sheetFormatPr defaultRowHeight="14.5" x14ac:dyDescent="0.35"/>
  <cols>
    <col min="1" max="1" width="5.6328125" customWidth="1"/>
    <col min="2" max="2" width="49.453125" style="4" bestFit="1" customWidth="1"/>
    <col min="3" max="3" width="10.1796875" style="5" customWidth="1"/>
  </cols>
  <sheetData>
    <row r="1" spans="1:3" ht="29" x14ac:dyDescent="0.35">
      <c r="A1">
        <v>2</v>
      </c>
      <c r="B1" s="4" t="s">
        <v>349</v>
      </c>
      <c r="C1" s="12">
        <f>COUNTA(_xlfn.UNIQUE(emp_data!D2:D201))</f>
        <v>6</v>
      </c>
    </row>
    <row r="3" spans="1:3" x14ac:dyDescent="0.35">
      <c r="C3" s="5">
        <f>COUNTA(_xlfn.UNIQUE(emp_data!D2:D201))</f>
        <v>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CC232-6C39-412B-A9E2-B0F01F930087}">
  <dimension ref="A1:C6"/>
  <sheetViews>
    <sheetView zoomScale="175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70.1796875" style="4" customWidth="1"/>
    <col min="3" max="3" width="40.1796875" style="5" bestFit="1" customWidth="1"/>
  </cols>
  <sheetData>
    <row r="1" spans="1:3" x14ac:dyDescent="0.35">
      <c r="A1">
        <v>3</v>
      </c>
      <c r="B1" s="4" t="s">
        <v>350</v>
      </c>
      <c r="C1" s="12" t="str" cm="1">
        <f t="array" ref="C1:C6">_xlfn.UNIQUE(emp_data!E2:E201)</f>
        <v>Executive</v>
      </c>
    </row>
    <row r="2" spans="1:3" x14ac:dyDescent="0.35">
      <c r="C2" s="5" t="str">
        <v>Analyst</v>
      </c>
    </row>
    <row r="3" spans="1:3" x14ac:dyDescent="0.35">
      <c r="C3" s="5" t="str">
        <v>Team Lead</v>
      </c>
    </row>
    <row r="4" spans="1:3" x14ac:dyDescent="0.35">
      <c r="C4" s="5" t="str">
        <v>Associate</v>
      </c>
    </row>
    <row r="5" spans="1:3" x14ac:dyDescent="0.35">
      <c r="C5" s="5" t="str">
        <v>Manager</v>
      </c>
    </row>
    <row r="6" spans="1:3" x14ac:dyDescent="0.35">
      <c r="C6" s="5" t="str">
        <v>Senior Analyst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8158A-91E7-4317-A23A-AA8E45FF27B6}">
  <dimension ref="A1:E9"/>
  <sheetViews>
    <sheetView topLeftCell="E1" zoomScale="175" zoomScaleNormal="175" workbookViewId="0">
      <selection activeCell="E4" sqref="E4"/>
    </sheetView>
  </sheetViews>
  <sheetFormatPr defaultRowHeight="14.5" x14ac:dyDescent="0.35"/>
  <cols>
    <col min="1" max="1" width="3" bestFit="1" customWidth="1"/>
    <col min="2" max="2" width="70.1796875" style="4" customWidth="1"/>
    <col min="3" max="3" width="40.1796875" style="5" bestFit="1" customWidth="1"/>
    <col min="5" max="5" width="133.453125" bestFit="1" customWidth="1"/>
  </cols>
  <sheetData>
    <row r="1" spans="1:5" x14ac:dyDescent="0.35">
      <c r="A1">
        <v>4</v>
      </c>
      <c r="B1" s="4" t="s">
        <v>342</v>
      </c>
      <c r="C1" s="12" t="str" cm="1">
        <f t="array" ref="C1">_xlfn.LET(
_xlpm.Dept,emp_data!D2:D201,
_xlpm.UniqueDept,_xlfn.UNIQUE(_xlpm.Dept),
_xlpm.DeptCount,COUNTIF(_xlpm.Dept,_xlpm.UniqueDept),
INDEX(_xlpm.UniqueDept,MATCH(MAX(_xlpm.DeptCount),_xlpm.DeptCount,0))
)</f>
        <v>Finance</v>
      </c>
    </row>
    <row r="2" spans="1:5" x14ac:dyDescent="0.35">
      <c r="E2" s="4" t="s">
        <v>395</v>
      </c>
    </row>
    <row r="4" spans="1:5" x14ac:dyDescent="0.35">
      <c r="E4" t="s">
        <v>389</v>
      </c>
    </row>
    <row r="5" spans="1:5" x14ac:dyDescent="0.35">
      <c r="E5" t="s">
        <v>390</v>
      </c>
    </row>
    <row r="6" spans="1:5" x14ac:dyDescent="0.35">
      <c r="E6" t="s">
        <v>391</v>
      </c>
    </row>
    <row r="7" spans="1:5" x14ac:dyDescent="0.35">
      <c r="E7" t="s">
        <v>392</v>
      </c>
    </row>
    <row r="8" spans="1:5" x14ac:dyDescent="0.35">
      <c r="E8" t="s">
        <v>393</v>
      </c>
    </row>
    <row r="9" spans="1:5" x14ac:dyDescent="0.35">
      <c r="E9" t="s">
        <v>394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255E3-FC96-45C9-A4C8-CB0E9059C27B}">
  <dimension ref="A1:C1"/>
  <sheetViews>
    <sheetView topLeftCell="C1" zoomScale="175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70.1796875" style="4" customWidth="1"/>
    <col min="3" max="3" width="40.1796875" style="5" bestFit="1" customWidth="1"/>
  </cols>
  <sheetData>
    <row r="1" spans="1:3" x14ac:dyDescent="0.35">
      <c r="A1">
        <v>5</v>
      </c>
      <c r="B1" s="4" t="s">
        <v>351</v>
      </c>
      <c r="C1" s="12" t="str" cm="1">
        <f t="array" ref="C1">_xlfn.LET(
_xlpm.Manager,emp_data!X2:X201,
_xlpm.UniqueManager,_xlfn.UNIQUE(_xlpm.Manager),
_xlpm.TeamCount,COUNTIF(_xlpm.Manager,_xlpm.UniqueManager),
INDEX(_xlpm.UniqueManager,MATCH(MAX(_xlpm.TeamCount),_xlpm.TeamCount,0))
)</f>
        <v>Priya M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EA32-249C-40E5-8CAA-17E1F6C5E2E1}">
  <dimension ref="A1:C3"/>
  <sheetViews>
    <sheetView topLeftCell="B1" zoomScale="175" zoomScaleNormal="175" workbookViewId="0">
      <selection activeCell="C4" sqref="C4"/>
    </sheetView>
  </sheetViews>
  <sheetFormatPr defaultRowHeight="14.5" x14ac:dyDescent="0.35"/>
  <cols>
    <col min="1" max="1" width="3" bestFit="1" customWidth="1"/>
    <col min="2" max="2" width="70.1796875" style="4" customWidth="1"/>
    <col min="3" max="3" width="40.1796875" style="5" bestFit="1" customWidth="1"/>
  </cols>
  <sheetData>
    <row r="1" spans="1:3" x14ac:dyDescent="0.35">
      <c r="A1">
        <v>6</v>
      </c>
      <c r="B1" s="4" t="s">
        <v>352</v>
      </c>
      <c r="C1" s="12" t="str">
        <f>_xlfn.XLOOKUP(MAX(emp_data!G2:G201), emp_data!G2:G201, emp_data!A2:A201)</f>
        <v>E1085</v>
      </c>
    </row>
    <row r="3" spans="1:3" x14ac:dyDescent="0.35">
      <c r="C3" s="5" t="str">
        <f>_xlfn.XLOOKUP(MAX(emp_data!G2:G201),emp_data!G2:G201,emp_data!A2:A201)</f>
        <v>E1085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8F0C0-8749-4634-9E99-4776466C038B}">
  <dimension ref="A1:C3"/>
  <sheetViews>
    <sheetView topLeftCell="C1" zoomScale="175" zoomScaleNormal="175" workbookViewId="0">
      <selection activeCell="C4" sqref="C4"/>
    </sheetView>
  </sheetViews>
  <sheetFormatPr defaultRowHeight="14.5" x14ac:dyDescent="0.35"/>
  <cols>
    <col min="1" max="1" width="3" bestFit="1" customWidth="1"/>
    <col min="2" max="2" width="70.1796875" style="4" customWidth="1"/>
    <col min="3" max="3" width="40.1796875" style="5" bestFit="1" customWidth="1"/>
  </cols>
  <sheetData>
    <row r="1" spans="1:3" x14ac:dyDescent="0.35">
      <c r="A1">
        <v>7</v>
      </c>
      <c r="B1" s="4" t="s">
        <v>353</v>
      </c>
      <c r="C1" s="12" t="str">
        <f>_xlfn.XLOOKUP(MIN(emp_data!H2:H201), emp_data!H2:H201, emp_data!A2:A201)</f>
        <v>E1064</v>
      </c>
    </row>
    <row r="3" spans="1:3" x14ac:dyDescent="0.35">
      <c r="C3" s="5" t="str">
        <f>_xlfn.XLOOKUP(MIN(emp_data!H2:H201),emp_data!H2:H201,emp_data!A2:A201)</f>
        <v>E1064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CD100-300F-45A2-A6EE-32DE8ABFCE36}">
  <dimension ref="A1:C1"/>
  <sheetViews>
    <sheetView zoomScale="175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70.1796875" style="4" customWidth="1"/>
    <col min="3" max="3" width="40.1796875" style="5" bestFit="1" customWidth="1"/>
  </cols>
  <sheetData>
    <row r="1" spans="1:3" x14ac:dyDescent="0.35">
      <c r="A1">
        <v>8</v>
      </c>
      <c r="B1" s="4" t="s">
        <v>354</v>
      </c>
      <c r="C1" s="12" t="str" cm="1">
        <f t="array" ref="C1">_xlfn.LET(_xlpm.loc,emp_data!F2:F201,_xlpm.u,_xlfn.UNIQUE(_xlpm.loc),_xlpm.cnt,COUNTIF(_xlpm.loc,_xlpm.u),INDEX(_xlpm.u,MATCH(MAX(_xlpm.cnt),_xlpm.cnt,0)))</f>
        <v>Chennai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6D29-B5D5-4D99-9EB6-A6459EE127F5}">
  <dimension ref="A1:C4"/>
  <sheetViews>
    <sheetView tabSelected="1" zoomScale="175" zoomScaleNormal="175" workbookViewId="0">
      <selection activeCell="C4" sqref="C4"/>
    </sheetView>
  </sheetViews>
  <sheetFormatPr defaultRowHeight="14.5" x14ac:dyDescent="0.35"/>
  <cols>
    <col min="1" max="1" width="3" bestFit="1" customWidth="1"/>
    <col min="2" max="2" width="38.90625" style="4" bestFit="1" customWidth="1"/>
    <col min="3" max="3" width="40.1796875" style="5" bestFit="1" customWidth="1"/>
  </cols>
  <sheetData>
    <row r="1" spans="1:3" ht="29" x14ac:dyDescent="0.35">
      <c r="A1">
        <v>9</v>
      </c>
      <c r="B1" s="4" t="s">
        <v>343</v>
      </c>
      <c r="C1" s="12" t="s">
        <v>379</v>
      </c>
    </row>
    <row r="3" spans="1:3" x14ac:dyDescent="0.35">
      <c r="C3" s="5" t="s">
        <v>387</v>
      </c>
    </row>
    <row r="4" spans="1:3" x14ac:dyDescent="0.35">
      <c r="C4" s="5">
        <f>SUM(emp_data!L189:L201)</f>
        <v>965929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F77ED-5554-48F2-8EB2-7FC45206C636}">
  <dimension ref="A1:C1"/>
  <sheetViews>
    <sheetView zoomScale="175" zoomScaleNormal="175" workbookViewId="0">
      <selection activeCell="B1" sqref="B1"/>
    </sheetView>
  </sheetViews>
  <sheetFormatPr defaultRowHeight="14.5" x14ac:dyDescent="0.35"/>
  <cols>
    <col min="1" max="1" width="3" bestFit="1" customWidth="1"/>
    <col min="2" max="2" width="70.1796875" style="4" customWidth="1"/>
    <col min="3" max="3" width="40.1796875" style="5" bestFit="1" customWidth="1"/>
  </cols>
  <sheetData>
    <row r="1" spans="1:2" x14ac:dyDescent="0.35">
      <c r="A1">
        <v>10</v>
      </c>
      <c r="B1" s="4" t="s">
        <v>355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81081-FAD5-4D44-B47A-DC0ABC9118D6}">
  <dimension ref="A1:C3"/>
  <sheetViews>
    <sheetView zoomScale="175" zoomScaleNormal="175" workbookViewId="0">
      <selection activeCell="C4" sqref="C4"/>
    </sheetView>
  </sheetViews>
  <sheetFormatPr defaultRowHeight="14.5" x14ac:dyDescent="0.35"/>
  <cols>
    <col min="1" max="1" width="3" bestFit="1" customWidth="1"/>
    <col min="2" max="2" width="70.1796875" style="4" customWidth="1"/>
    <col min="3" max="3" width="40.1796875" style="5" bestFit="1" customWidth="1"/>
  </cols>
  <sheetData>
    <row r="1" spans="1:3" x14ac:dyDescent="0.35">
      <c r="A1">
        <v>11</v>
      </c>
      <c r="B1" s="4" t="s">
        <v>356</v>
      </c>
      <c r="C1" s="12" t="s">
        <v>380</v>
      </c>
    </row>
    <row r="3" spans="1:3" x14ac:dyDescent="0.35">
      <c r="C3" s="5" t="s">
        <v>388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E4CC8-02AC-4451-93F0-20C1F0089BAE}">
  <dimension ref="A1:C1"/>
  <sheetViews>
    <sheetView topLeftCell="B1" zoomScale="175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81" style="4" bestFit="1" customWidth="1"/>
    <col min="3" max="3" width="29.36328125" style="5" bestFit="1" customWidth="1"/>
  </cols>
  <sheetData>
    <row r="1" spans="1:3" ht="29" x14ac:dyDescent="0.35">
      <c r="A1">
        <v>12</v>
      </c>
      <c r="B1" s="4" t="s">
        <v>370</v>
      </c>
      <c r="C1" s="12" t="s">
        <v>381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DDE5-E7F2-4E27-AE32-F2BD420FA86E}">
  <dimension ref="A1:C1"/>
  <sheetViews>
    <sheetView zoomScale="175" zoomScaleNormal="175" workbookViewId="0">
      <selection activeCell="A9" sqref="A9:XFD9"/>
    </sheetView>
  </sheetViews>
  <sheetFormatPr defaultRowHeight="14.5" x14ac:dyDescent="0.35"/>
  <cols>
    <col min="1" max="1" width="3" bestFit="1" customWidth="1"/>
    <col min="2" max="2" width="70.1796875" style="4" customWidth="1"/>
    <col min="3" max="3" width="40.1796875" style="5" bestFit="1" customWidth="1"/>
  </cols>
  <sheetData>
    <row r="1" spans="1:3" x14ac:dyDescent="0.35">
      <c r="A1">
        <v>13</v>
      </c>
      <c r="B1" s="4" t="s">
        <v>344</v>
      </c>
      <c r="C1" s="12" t="str">
        <f>_xlfn.LET(
_xlpm.Bonus,emp_data!K2:K201,
_xlpm.EmpName,emp_data!B2:B201,
INDEX(_xlpm.EmpName,MATCH(MAX(_xlpm.Bonus),_xlpm.Bonus,0))
)</f>
        <v>Kumar K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1FF4-6F66-466D-880E-58531F9B520D}">
  <dimension ref="A1:C1"/>
  <sheetViews>
    <sheetView zoomScale="175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70.1796875" style="4" customWidth="1"/>
    <col min="3" max="3" width="40.1796875" style="5" bestFit="1" customWidth="1"/>
  </cols>
  <sheetData>
    <row r="1" spans="1:3" x14ac:dyDescent="0.35">
      <c r="A1">
        <v>14</v>
      </c>
      <c r="B1" s="4" t="s">
        <v>357</v>
      </c>
      <c r="C1" s="12">
        <f>SUM(emp_data!L2:L201)</f>
        <v>15607372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F2B0D-8139-47BA-AC08-8286B0E25843}">
  <dimension ref="A1:C1"/>
  <sheetViews>
    <sheetView topLeftCell="C1" zoomScale="175" zoomScaleNormal="175" workbookViewId="0">
      <selection activeCell="C3" sqref="C3"/>
    </sheetView>
  </sheetViews>
  <sheetFormatPr defaultRowHeight="14.5" x14ac:dyDescent="0.35"/>
  <cols>
    <col min="1" max="1" width="3" bestFit="1" customWidth="1"/>
    <col min="2" max="2" width="70.1796875" style="4" customWidth="1"/>
    <col min="3" max="3" width="40.1796875" style="5" bestFit="1" customWidth="1"/>
  </cols>
  <sheetData>
    <row r="1" spans="1:3" x14ac:dyDescent="0.35">
      <c r="A1">
        <v>15</v>
      </c>
      <c r="B1" s="4" t="s">
        <v>358</v>
      </c>
      <c r="C1" s="12">
        <f>SUM(emp_data!L2:L201)/COUNTA(emp_data!A2:A201)</f>
        <v>78036.86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D664D-6FD2-4CEC-936F-8FBE25AA005A}">
  <dimension ref="A1:C3"/>
  <sheetViews>
    <sheetView zoomScale="175" zoomScaleNormal="175" workbookViewId="0">
      <selection activeCell="C3" sqref="C3"/>
    </sheetView>
  </sheetViews>
  <sheetFormatPr defaultRowHeight="14.5" x14ac:dyDescent="0.35"/>
  <cols>
    <col min="1" max="1" width="3" bestFit="1" customWidth="1"/>
    <col min="2" max="2" width="45.81640625" style="4" bestFit="1" customWidth="1"/>
    <col min="3" max="3" width="10.54296875" style="5" bestFit="1" customWidth="1"/>
  </cols>
  <sheetData>
    <row r="1" spans="1:3" ht="29" x14ac:dyDescent="0.35">
      <c r="A1">
        <v>16</v>
      </c>
      <c r="B1" s="4" t="s">
        <v>359</v>
      </c>
    </row>
    <row r="2" spans="1:3" x14ac:dyDescent="0.35">
      <c r="B2" s="4" t="s">
        <v>382</v>
      </c>
      <c r="C2" s="14">
        <f>MAX(emp_data!M2:M201)</f>
        <v>1462308</v>
      </c>
    </row>
    <row r="3" spans="1:3" x14ac:dyDescent="0.35">
      <c r="B3" s="4" t="s">
        <v>383</v>
      </c>
      <c r="C3" s="14">
        <f>MIN(emp_data!M2:M201)</f>
        <v>491316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39F1B-6205-4DC1-AB7C-DDE6AF0A9FE4}">
  <dimension ref="A1:C2"/>
  <sheetViews>
    <sheetView topLeftCell="B1" zoomScale="175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47.81640625" style="4" bestFit="1" customWidth="1"/>
    <col min="3" max="3" width="10.90625" style="5" customWidth="1"/>
  </cols>
  <sheetData>
    <row r="1" spans="1:3" ht="29" x14ac:dyDescent="0.35">
      <c r="A1">
        <v>17</v>
      </c>
      <c r="B1" s="4" t="s">
        <v>360</v>
      </c>
      <c r="C1" s="17">
        <f>SUM(emp_data!K2:K201)</f>
        <v>1550106</v>
      </c>
    </row>
    <row r="2" spans="1:3" x14ac:dyDescent="0.35">
      <c r="C2" s="16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1097F-985F-4034-A94A-ACA2B529EBA5}">
  <dimension ref="A1:C1"/>
  <sheetViews>
    <sheetView zoomScale="175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45.54296875" style="4" customWidth="1"/>
    <col min="3" max="3" width="17.6328125" style="5" customWidth="1"/>
  </cols>
  <sheetData>
    <row r="1" spans="1:3" x14ac:dyDescent="0.35">
      <c r="A1">
        <v>18</v>
      </c>
      <c r="B1" s="4" t="s">
        <v>361</v>
      </c>
      <c r="C1" s="17">
        <f>SUM(emp_data!J2:J201)</f>
        <v>1982867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E005-A419-4F7A-B82E-D634E0520431}">
  <dimension ref="A1:AZ94"/>
  <sheetViews>
    <sheetView topLeftCell="Y1" zoomScale="175" zoomScaleNormal="175" workbookViewId="0">
      <selection activeCell="AC2" sqref="AC2"/>
    </sheetView>
  </sheetViews>
  <sheetFormatPr defaultRowHeight="14.5" x14ac:dyDescent="0.35"/>
  <cols>
    <col min="1" max="1" width="3" bestFit="1" customWidth="1"/>
    <col min="2" max="2" width="57.1796875" style="4" bestFit="1" customWidth="1"/>
    <col min="3" max="3" width="6" style="5" bestFit="1" customWidth="1"/>
  </cols>
  <sheetData>
    <row r="1" spans="1:52" ht="29" x14ac:dyDescent="0.35">
      <c r="A1">
        <v>19</v>
      </c>
      <c r="B1" s="4" t="s">
        <v>362</v>
      </c>
      <c r="C1" s="15" t="str" cm="1">
        <f t="array" ref="C1:Z94">_xlfn._xlws.FILTER(emp_data!A2:X201,emp_data!L2:L201&gt;AVERAGE(emp_data!L2:L201))</f>
        <v>E1001</v>
      </c>
      <c r="D1" t="str">
        <v>Priya S</v>
      </c>
      <c r="E1" t="str">
        <v>Male</v>
      </c>
      <c r="F1" t="str">
        <v>Sales</v>
      </c>
      <c r="G1" t="str">
        <v>Executive</v>
      </c>
      <c r="H1" t="str">
        <v>Chennai</v>
      </c>
      <c r="I1">
        <v>45439</v>
      </c>
      <c r="J1">
        <v>29846</v>
      </c>
      <c r="K1">
        <v>74692</v>
      </c>
      <c r="L1">
        <v>11785</v>
      </c>
      <c r="M1">
        <v>10213</v>
      </c>
      <c r="N1">
        <v>96690</v>
      </c>
      <c r="O1">
        <v>1160280</v>
      </c>
      <c r="P1">
        <v>0.13673485781609812</v>
      </c>
      <c r="Q1">
        <v>11</v>
      </c>
      <c r="R1">
        <v>90</v>
      </c>
      <c r="S1">
        <v>1</v>
      </c>
      <c r="T1">
        <v>20</v>
      </c>
      <c r="U1">
        <v>4</v>
      </c>
      <c r="V1">
        <v>71</v>
      </c>
      <c r="W1">
        <v>0</v>
      </c>
      <c r="X1" t="str">
        <v>No</v>
      </c>
      <c r="Y1" t="str">
        <v>No</v>
      </c>
      <c r="Z1" t="str">
        <v>Manoj P</v>
      </c>
      <c r="AC1" t="str" cm="1">
        <f t="array" ref="AC1:AZ94">_xlfn._xlws.FILTER(emp_data!A2:X201,emp_data!L2:L201&gt;AVERAGE(emp_data!L2:L201))</f>
        <v>E1001</v>
      </c>
      <c r="AD1" t="str">
        <v>Priya S</v>
      </c>
      <c r="AE1" t="str">
        <v>Male</v>
      </c>
      <c r="AF1" t="str">
        <v>Sales</v>
      </c>
      <c r="AG1" t="str">
        <v>Executive</v>
      </c>
      <c r="AH1" t="str">
        <v>Chennai</v>
      </c>
      <c r="AI1">
        <v>45439</v>
      </c>
      <c r="AJ1">
        <v>29846</v>
      </c>
      <c r="AK1">
        <v>74692</v>
      </c>
      <c r="AL1">
        <v>11785</v>
      </c>
      <c r="AM1">
        <v>10213</v>
      </c>
      <c r="AN1">
        <v>96690</v>
      </c>
      <c r="AO1">
        <v>1160280</v>
      </c>
      <c r="AP1">
        <v>0.13673485781609812</v>
      </c>
      <c r="AQ1">
        <v>11</v>
      </c>
      <c r="AR1">
        <v>90</v>
      </c>
      <c r="AS1">
        <v>1</v>
      </c>
      <c r="AT1">
        <v>20</v>
      </c>
      <c r="AU1">
        <v>4</v>
      </c>
      <c r="AV1">
        <v>71</v>
      </c>
      <c r="AW1">
        <v>0</v>
      </c>
      <c r="AX1" t="str">
        <v>No</v>
      </c>
      <c r="AY1" t="str">
        <v>No</v>
      </c>
      <c r="AZ1" t="str">
        <v>Manoj P</v>
      </c>
    </row>
    <row r="2" spans="1:52" x14ac:dyDescent="0.35">
      <c r="C2" s="5" t="str">
        <v>E1003</v>
      </c>
      <c r="D2" t="str">
        <v>Meena M</v>
      </c>
      <c r="E2" t="str">
        <v>Female</v>
      </c>
      <c r="F2" t="str">
        <v>Finance</v>
      </c>
      <c r="G2" t="str">
        <v>Team Lead</v>
      </c>
      <c r="H2" t="str">
        <v>Chennai</v>
      </c>
      <c r="I2">
        <v>45153</v>
      </c>
      <c r="J2">
        <v>34219</v>
      </c>
      <c r="K2">
        <v>70018</v>
      </c>
      <c r="L2">
        <v>11547</v>
      </c>
      <c r="M2">
        <v>14131</v>
      </c>
      <c r="N2">
        <v>95696</v>
      </c>
      <c r="O2">
        <v>1148352</v>
      </c>
      <c r="P2">
        <v>0.20181953212031192</v>
      </c>
      <c r="Q2">
        <v>16</v>
      </c>
      <c r="R2">
        <v>86</v>
      </c>
      <c r="S2">
        <v>5</v>
      </c>
      <c r="T2">
        <v>67</v>
      </c>
      <c r="U2">
        <v>18</v>
      </c>
      <c r="V2">
        <v>70</v>
      </c>
      <c r="W2">
        <v>0</v>
      </c>
      <c r="X2" t="str">
        <v>Yes</v>
      </c>
      <c r="Y2" t="str">
        <v>No</v>
      </c>
      <c r="Z2" t="str">
        <v>Divya R</v>
      </c>
      <c r="AC2" t="str">
        <v>E1003</v>
      </c>
      <c r="AD2" t="str">
        <v>Meena M</v>
      </c>
      <c r="AE2" t="str">
        <v>Female</v>
      </c>
      <c r="AF2" t="str">
        <v>Finance</v>
      </c>
      <c r="AG2" t="str">
        <v>Team Lead</v>
      </c>
      <c r="AH2" t="str">
        <v>Chennai</v>
      </c>
      <c r="AI2">
        <v>45153</v>
      </c>
      <c r="AJ2">
        <v>34219</v>
      </c>
      <c r="AK2">
        <v>70018</v>
      </c>
      <c r="AL2">
        <v>11547</v>
      </c>
      <c r="AM2">
        <v>14131</v>
      </c>
      <c r="AN2">
        <v>95696</v>
      </c>
      <c r="AO2">
        <v>1148352</v>
      </c>
      <c r="AP2">
        <v>0.20181953212031192</v>
      </c>
      <c r="AQ2">
        <v>16</v>
      </c>
      <c r="AR2">
        <v>86</v>
      </c>
      <c r="AS2">
        <v>5</v>
      </c>
      <c r="AT2">
        <v>67</v>
      </c>
      <c r="AU2">
        <v>18</v>
      </c>
      <c r="AV2">
        <v>70</v>
      </c>
      <c r="AW2">
        <v>0</v>
      </c>
      <c r="AX2" t="str">
        <v>Yes</v>
      </c>
      <c r="AY2" t="str">
        <v>No</v>
      </c>
      <c r="AZ2" t="str">
        <v>Divya R</v>
      </c>
    </row>
    <row r="3" spans="1:52" x14ac:dyDescent="0.35">
      <c r="C3" s="5" t="str">
        <v>E1006</v>
      </c>
      <c r="D3" t="str">
        <v>Priya V</v>
      </c>
      <c r="E3" t="str">
        <v>Female</v>
      </c>
      <c r="F3" t="str">
        <v>Sales</v>
      </c>
      <c r="G3" t="str">
        <v>Associate</v>
      </c>
      <c r="H3" t="str">
        <v>Mumbai</v>
      </c>
      <c r="I3">
        <v>42960</v>
      </c>
      <c r="J3">
        <v>38136</v>
      </c>
      <c r="K3">
        <v>88414</v>
      </c>
      <c r="L3">
        <v>5909</v>
      </c>
      <c r="M3">
        <v>3519</v>
      </c>
      <c r="N3">
        <v>97842</v>
      </c>
      <c r="O3">
        <v>1174104</v>
      </c>
      <c r="P3">
        <v>3.9801388920306741E-2</v>
      </c>
      <c r="Q3">
        <v>18</v>
      </c>
      <c r="R3">
        <v>94</v>
      </c>
      <c r="S3">
        <v>4</v>
      </c>
      <c r="T3">
        <v>59</v>
      </c>
      <c r="U3">
        <v>1</v>
      </c>
      <c r="V3">
        <v>50</v>
      </c>
      <c r="W3">
        <v>0</v>
      </c>
      <c r="X3" t="str">
        <v>No</v>
      </c>
      <c r="Y3" t="str">
        <v>No</v>
      </c>
      <c r="Z3" t="str">
        <v>Divya R</v>
      </c>
      <c r="AC3" t="str">
        <v>E1006</v>
      </c>
      <c r="AD3" t="str">
        <v>Priya V</v>
      </c>
      <c r="AE3" t="str">
        <v>Female</v>
      </c>
      <c r="AF3" t="str">
        <v>Sales</v>
      </c>
      <c r="AG3" t="str">
        <v>Associate</v>
      </c>
      <c r="AH3" t="str">
        <v>Mumbai</v>
      </c>
      <c r="AI3">
        <v>42960</v>
      </c>
      <c r="AJ3">
        <v>38136</v>
      </c>
      <c r="AK3">
        <v>88414</v>
      </c>
      <c r="AL3">
        <v>5909</v>
      </c>
      <c r="AM3">
        <v>3519</v>
      </c>
      <c r="AN3">
        <v>97842</v>
      </c>
      <c r="AO3">
        <v>1174104</v>
      </c>
      <c r="AP3">
        <v>3.9801388920306741E-2</v>
      </c>
      <c r="AQ3">
        <v>18</v>
      </c>
      <c r="AR3">
        <v>94</v>
      </c>
      <c r="AS3">
        <v>4</v>
      </c>
      <c r="AT3">
        <v>59</v>
      </c>
      <c r="AU3">
        <v>1</v>
      </c>
      <c r="AV3">
        <v>50</v>
      </c>
      <c r="AW3">
        <v>0</v>
      </c>
      <c r="AX3" t="str">
        <v>No</v>
      </c>
      <c r="AY3" t="str">
        <v>No</v>
      </c>
      <c r="AZ3" t="str">
        <v>Divya R</v>
      </c>
    </row>
    <row r="4" spans="1:52" x14ac:dyDescent="0.35">
      <c r="C4" s="5" t="str">
        <v>E1008</v>
      </c>
      <c r="D4" t="str">
        <v>Kumar K</v>
      </c>
      <c r="E4" t="str">
        <v>Female</v>
      </c>
      <c r="F4" t="str">
        <v>IT</v>
      </c>
      <c r="G4" t="str">
        <v>Executive</v>
      </c>
      <c r="H4" t="str">
        <v>Madurai</v>
      </c>
      <c r="I4">
        <v>43940</v>
      </c>
      <c r="J4">
        <v>29762</v>
      </c>
      <c r="K4">
        <v>98608</v>
      </c>
      <c r="L4">
        <v>8485</v>
      </c>
      <c r="M4">
        <v>7784</v>
      </c>
      <c r="N4">
        <v>114877</v>
      </c>
      <c r="O4">
        <v>1378524</v>
      </c>
      <c r="P4">
        <v>7.8938828492617227E-2</v>
      </c>
      <c r="Q4">
        <v>12</v>
      </c>
      <c r="R4">
        <v>80</v>
      </c>
      <c r="S4">
        <v>2</v>
      </c>
      <c r="T4">
        <v>53</v>
      </c>
      <c r="U4">
        <v>2</v>
      </c>
      <c r="V4">
        <v>95</v>
      </c>
      <c r="W4">
        <v>0</v>
      </c>
      <c r="X4" t="str">
        <v>No</v>
      </c>
      <c r="Y4" t="str">
        <v>No</v>
      </c>
      <c r="Z4" t="str">
        <v>Manoj P</v>
      </c>
      <c r="AC4" t="str">
        <v>E1008</v>
      </c>
      <c r="AD4" t="str">
        <v>Kumar K</v>
      </c>
      <c r="AE4" t="str">
        <v>Female</v>
      </c>
      <c r="AF4" t="str">
        <v>IT</v>
      </c>
      <c r="AG4" t="str">
        <v>Executive</v>
      </c>
      <c r="AH4" t="str">
        <v>Madurai</v>
      </c>
      <c r="AI4">
        <v>43940</v>
      </c>
      <c r="AJ4">
        <v>29762</v>
      </c>
      <c r="AK4">
        <v>98608</v>
      </c>
      <c r="AL4">
        <v>8485</v>
      </c>
      <c r="AM4">
        <v>7784</v>
      </c>
      <c r="AN4">
        <v>114877</v>
      </c>
      <c r="AO4">
        <v>1378524</v>
      </c>
      <c r="AP4">
        <v>7.8938828492617227E-2</v>
      </c>
      <c r="AQ4">
        <v>12</v>
      </c>
      <c r="AR4">
        <v>80</v>
      </c>
      <c r="AS4">
        <v>2</v>
      </c>
      <c r="AT4">
        <v>53</v>
      </c>
      <c r="AU4">
        <v>2</v>
      </c>
      <c r="AV4">
        <v>95</v>
      </c>
      <c r="AW4">
        <v>0</v>
      </c>
      <c r="AX4" t="str">
        <v>No</v>
      </c>
      <c r="AY4" t="str">
        <v>No</v>
      </c>
      <c r="AZ4" t="str">
        <v>Manoj P</v>
      </c>
    </row>
    <row r="5" spans="1:52" x14ac:dyDescent="0.35">
      <c r="C5" s="5" t="str">
        <v>E1009</v>
      </c>
      <c r="D5" t="str">
        <v>Anitha V</v>
      </c>
      <c r="E5" t="str">
        <v>Male</v>
      </c>
      <c r="F5" t="str">
        <v>Operations</v>
      </c>
      <c r="G5" t="str">
        <v>Analyst</v>
      </c>
      <c r="H5" t="str">
        <v>Hyderabad</v>
      </c>
      <c r="I5">
        <v>43591</v>
      </c>
      <c r="J5">
        <v>38027</v>
      </c>
      <c r="K5">
        <v>65129</v>
      </c>
      <c r="L5">
        <v>5394</v>
      </c>
      <c r="M5">
        <v>11746</v>
      </c>
      <c r="N5">
        <v>82269</v>
      </c>
      <c r="O5">
        <v>987228</v>
      </c>
      <c r="P5">
        <v>0.18034976738472877</v>
      </c>
      <c r="Q5">
        <v>10</v>
      </c>
      <c r="R5">
        <v>92</v>
      </c>
      <c r="S5">
        <v>3</v>
      </c>
      <c r="T5">
        <v>16</v>
      </c>
      <c r="U5">
        <v>17</v>
      </c>
      <c r="V5">
        <v>71</v>
      </c>
      <c r="W5">
        <v>0</v>
      </c>
      <c r="X5" t="str">
        <v>No</v>
      </c>
      <c r="Y5" t="str">
        <v>No</v>
      </c>
      <c r="Z5" t="str">
        <v>Ravi Kumar</v>
      </c>
      <c r="AC5" t="str">
        <v>E1009</v>
      </c>
      <c r="AD5" t="str">
        <v>Anitha V</v>
      </c>
      <c r="AE5" t="str">
        <v>Male</v>
      </c>
      <c r="AF5" t="str">
        <v>Operations</v>
      </c>
      <c r="AG5" t="str">
        <v>Analyst</v>
      </c>
      <c r="AH5" t="str">
        <v>Hyderabad</v>
      </c>
      <c r="AI5">
        <v>43591</v>
      </c>
      <c r="AJ5">
        <v>38027</v>
      </c>
      <c r="AK5">
        <v>65129</v>
      </c>
      <c r="AL5">
        <v>5394</v>
      </c>
      <c r="AM5">
        <v>11746</v>
      </c>
      <c r="AN5">
        <v>82269</v>
      </c>
      <c r="AO5">
        <v>987228</v>
      </c>
      <c r="AP5">
        <v>0.18034976738472877</v>
      </c>
      <c r="AQ5">
        <v>10</v>
      </c>
      <c r="AR5">
        <v>92</v>
      </c>
      <c r="AS5">
        <v>3</v>
      </c>
      <c r="AT5">
        <v>16</v>
      </c>
      <c r="AU5">
        <v>17</v>
      </c>
      <c r="AV5">
        <v>71</v>
      </c>
      <c r="AW5">
        <v>0</v>
      </c>
      <c r="AX5" t="str">
        <v>No</v>
      </c>
      <c r="AY5" t="str">
        <v>No</v>
      </c>
      <c r="AZ5" t="str">
        <v>Ravi Kumar</v>
      </c>
    </row>
    <row r="6" spans="1:52" x14ac:dyDescent="0.35">
      <c r="C6" s="5" t="str">
        <v>E1011</v>
      </c>
      <c r="D6" t="str">
        <v>Manoj P</v>
      </c>
      <c r="E6" t="str">
        <v>Male</v>
      </c>
      <c r="F6" t="str">
        <v>Finance</v>
      </c>
      <c r="G6" t="str">
        <v>Manager</v>
      </c>
      <c r="H6" t="str">
        <v>Chennai</v>
      </c>
      <c r="I6">
        <v>44239</v>
      </c>
      <c r="J6">
        <v>35266</v>
      </c>
      <c r="K6">
        <v>54478</v>
      </c>
      <c r="L6">
        <v>17638</v>
      </c>
      <c r="M6">
        <v>10341</v>
      </c>
      <c r="N6">
        <v>82457</v>
      </c>
      <c r="O6">
        <v>989484</v>
      </c>
      <c r="P6">
        <v>0.18981974374977054</v>
      </c>
      <c r="Q6">
        <v>11</v>
      </c>
      <c r="R6">
        <v>82</v>
      </c>
      <c r="S6">
        <v>3</v>
      </c>
      <c r="T6">
        <v>64</v>
      </c>
      <c r="U6">
        <v>7</v>
      </c>
      <c r="V6">
        <v>63</v>
      </c>
      <c r="W6">
        <v>0</v>
      </c>
      <c r="X6" t="str">
        <v>No</v>
      </c>
      <c r="Y6" t="str">
        <v>No</v>
      </c>
      <c r="Z6" t="str">
        <v>Manoj P</v>
      </c>
      <c r="AC6" t="str">
        <v>E1011</v>
      </c>
      <c r="AD6" t="str">
        <v>Manoj P</v>
      </c>
      <c r="AE6" t="str">
        <v>Male</v>
      </c>
      <c r="AF6" t="str">
        <v>Finance</v>
      </c>
      <c r="AG6" t="str">
        <v>Manager</v>
      </c>
      <c r="AH6" t="str">
        <v>Chennai</v>
      </c>
      <c r="AI6">
        <v>44239</v>
      </c>
      <c r="AJ6">
        <v>35266</v>
      </c>
      <c r="AK6">
        <v>54478</v>
      </c>
      <c r="AL6">
        <v>17638</v>
      </c>
      <c r="AM6">
        <v>10341</v>
      </c>
      <c r="AN6">
        <v>82457</v>
      </c>
      <c r="AO6">
        <v>989484</v>
      </c>
      <c r="AP6">
        <v>0.18981974374977054</v>
      </c>
      <c r="AQ6">
        <v>11</v>
      </c>
      <c r="AR6">
        <v>82</v>
      </c>
      <c r="AS6">
        <v>3</v>
      </c>
      <c r="AT6">
        <v>64</v>
      </c>
      <c r="AU6">
        <v>7</v>
      </c>
      <c r="AV6">
        <v>63</v>
      </c>
      <c r="AW6">
        <v>0</v>
      </c>
      <c r="AX6" t="str">
        <v>No</v>
      </c>
      <c r="AY6" t="str">
        <v>No</v>
      </c>
      <c r="AZ6" t="str">
        <v>Manoj P</v>
      </c>
    </row>
    <row r="7" spans="1:52" x14ac:dyDescent="0.35">
      <c r="C7" s="5" t="str">
        <v>E1013</v>
      </c>
      <c r="D7" t="str">
        <v>Rahul P</v>
      </c>
      <c r="E7" t="str">
        <v>Male</v>
      </c>
      <c r="F7" t="str">
        <v>Sales</v>
      </c>
      <c r="G7" t="str">
        <v>Team Lead</v>
      </c>
      <c r="H7" t="str">
        <v>Mumbai</v>
      </c>
      <c r="I7">
        <v>43636</v>
      </c>
      <c r="J7">
        <v>29683</v>
      </c>
      <c r="K7">
        <v>58666</v>
      </c>
      <c r="L7">
        <v>14694</v>
      </c>
      <c r="M7">
        <v>14644</v>
      </c>
      <c r="N7">
        <v>88004</v>
      </c>
      <c r="O7">
        <v>1056048</v>
      </c>
      <c r="P7">
        <v>0.24961647291446493</v>
      </c>
      <c r="Q7">
        <v>19</v>
      </c>
      <c r="R7">
        <v>95</v>
      </c>
      <c r="S7">
        <v>3</v>
      </c>
      <c r="T7">
        <v>50</v>
      </c>
      <c r="U7">
        <v>7</v>
      </c>
      <c r="V7">
        <v>82</v>
      </c>
      <c r="W7">
        <v>0</v>
      </c>
      <c r="X7" t="str">
        <v>No</v>
      </c>
      <c r="Y7" t="str">
        <v>No</v>
      </c>
      <c r="Z7" t="str">
        <v>Karthik V</v>
      </c>
      <c r="AC7" t="str">
        <v>E1013</v>
      </c>
      <c r="AD7" t="str">
        <v>Rahul P</v>
      </c>
      <c r="AE7" t="str">
        <v>Male</v>
      </c>
      <c r="AF7" t="str">
        <v>Sales</v>
      </c>
      <c r="AG7" t="str">
        <v>Team Lead</v>
      </c>
      <c r="AH7" t="str">
        <v>Mumbai</v>
      </c>
      <c r="AI7">
        <v>43636</v>
      </c>
      <c r="AJ7">
        <v>29683</v>
      </c>
      <c r="AK7">
        <v>58666</v>
      </c>
      <c r="AL7">
        <v>14694</v>
      </c>
      <c r="AM7">
        <v>14644</v>
      </c>
      <c r="AN7">
        <v>88004</v>
      </c>
      <c r="AO7">
        <v>1056048</v>
      </c>
      <c r="AP7">
        <v>0.24961647291446493</v>
      </c>
      <c r="AQ7">
        <v>19</v>
      </c>
      <c r="AR7">
        <v>95</v>
      </c>
      <c r="AS7">
        <v>3</v>
      </c>
      <c r="AT7">
        <v>50</v>
      </c>
      <c r="AU7">
        <v>7</v>
      </c>
      <c r="AV7">
        <v>82</v>
      </c>
      <c r="AW7">
        <v>0</v>
      </c>
      <c r="AX7" t="str">
        <v>No</v>
      </c>
      <c r="AY7" t="str">
        <v>No</v>
      </c>
      <c r="AZ7" t="str">
        <v>Karthik V</v>
      </c>
    </row>
    <row r="8" spans="1:52" x14ac:dyDescent="0.35">
      <c r="C8" s="5" t="str">
        <v>E1014</v>
      </c>
      <c r="D8" t="str">
        <v>Arjun P</v>
      </c>
      <c r="E8" t="str">
        <v>Female</v>
      </c>
      <c r="F8" t="str">
        <v>Finance</v>
      </c>
      <c r="G8" t="str">
        <v>Associate</v>
      </c>
      <c r="H8" t="str">
        <v>Hyderabad</v>
      </c>
      <c r="I8">
        <v>42506</v>
      </c>
      <c r="J8">
        <v>30080</v>
      </c>
      <c r="K8">
        <v>72270</v>
      </c>
      <c r="L8">
        <v>17117</v>
      </c>
      <c r="M8">
        <v>8549</v>
      </c>
      <c r="N8">
        <v>97936</v>
      </c>
      <c r="O8">
        <v>1175232</v>
      </c>
      <c r="P8">
        <v>0.11829251418292515</v>
      </c>
      <c r="Q8">
        <v>12</v>
      </c>
      <c r="R8">
        <v>93</v>
      </c>
      <c r="S8">
        <v>3</v>
      </c>
      <c r="T8">
        <v>45</v>
      </c>
      <c r="U8">
        <v>6</v>
      </c>
      <c r="V8">
        <v>99</v>
      </c>
      <c r="W8">
        <v>0</v>
      </c>
      <c r="X8" t="str">
        <v>No</v>
      </c>
      <c r="Y8" t="str">
        <v>No</v>
      </c>
      <c r="Z8" t="str">
        <v>Manoj P</v>
      </c>
      <c r="AC8" t="str">
        <v>E1014</v>
      </c>
      <c r="AD8" t="str">
        <v>Arjun P</v>
      </c>
      <c r="AE8" t="str">
        <v>Female</v>
      </c>
      <c r="AF8" t="str">
        <v>Finance</v>
      </c>
      <c r="AG8" t="str">
        <v>Associate</v>
      </c>
      <c r="AH8" t="str">
        <v>Hyderabad</v>
      </c>
      <c r="AI8">
        <v>42506</v>
      </c>
      <c r="AJ8">
        <v>30080</v>
      </c>
      <c r="AK8">
        <v>72270</v>
      </c>
      <c r="AL8">
        <v>17117</v>
      </c>
      <c r="AM8">
        <v>8549</v>
      </c>
      <c r="AN8">
        <v>97936</v>
      </c>
      <c r="AO8">
        <v>1175232</v>
      </c>
      <c r="AP8">
        <v>0.11829251418292515</v>
      </c>
      <c r="AQ8">
        <v>12</v>
      </c>
      <c r="AR8">
        <v>93</v>
      </c>
      <c r="AS8">
        <v>3</v>
      </c>
      <c r="AT8">
        <v>45</v>
      </c>
      <c r="AU8">
        <v>6</v>
      </c>
      <c r="AV8">
        <v>99</v>
      </c>
      <c r="AW8">
        <v>0</v>
      </c>
      <c r="AX8" t="str">
        <v>No</v>
      </c>
      <c r="AY8" t="str">
        <v>No</v>
      </c>
      <c r="AZ8" t="str">
        <v>Manoj P</v>
      </c>
    </row>
    <row r="9" spans="1:52" x14ac:dyDescent="0.35">
      <c r="C9" s="5" t="str">
        <v>E1016</v>
      </c>
      <c r="D9" t="str">
        <v>Ravi K</v>
      </c>
      <c r="E9" t="str">
        <v>Female</v>
      </c>
      <c r="F9" t="str">
        <v>IT</v>
      </c>
      <c r="G9" t="str">
        <v>Manager</v>
      </c>
      <c r="H9" t="str">
        <v>Bengaluru</v>
      </c>
      <c r="I9">
        <v>43227</v>
      </c>
      <c r="J9">
        <v>30981</v>
      </c>
      <c r="K9">
        <v>86020</v>
      </c>
      <c r="L9">
        <v>12396</v>
      </c>
      <c r="M9">
        <v>13543</v>
      </c>
      <c r="N9">
        <v>111959</v>
      </c>
      <c r="O9">
        <v>1343508</v>
      </c>
      <c r="P9">
        <v>0.15744013020227854</v>
      </c>
      <c r="Q9">
        <v>11</v>
      </c>
      <c r="R9">
        <v>87</v>
      </c>
      <c r="S9">
        <v>4</v>
      </c>
      <c r="T9">
        <v>34</v>
      </c>
      <c r="U9">
        <v>14</v>
      </c>
      <c r="V9">
        <v>86</v>
      </c>
      <c r="W9">
        <v>0</v>
      </c>
      <c r="X9" t="str">
        <v>No</v>
      </c>
      <c r="Y9" t="str">
        <v>No</v>
      </c>
      <c r="Z9" t="str">
        <v>Manoj P</v>
      </c>
      <c r="AC9" t="str">
        <v>E1016</v>
      </c>
      <c r="AD9" t="str">
        <v>Ravi K</v>
      </c>
      <c r="AE9" t="str">
        <v>Female</v>
      </c>
      <c r="AF9" t="str">
        <v>IT</v>
      </c>
      <c r="AG9" t="str">
        <v>Manager</v>
      </c>
      <c r="AH9" t="str">
        <v>Bengaluru</v>
      </c>
      <c r="AI9">
        <v>43227</v>
      </c>
      <c r="AJ9">
        <v>30981</v>
      </c>
      <c r="AK9">
        <v>86020</v>
      </c>
      <c r="AL9">
        <v>12396</v>
      </c>
      <c r="AM9">
        <v>13543</v>
      </c>
      <c r="AN9">
        <v>111959</v>
      </c>
      <c r="AO9">
        <v>1343508</v>
      </c>
      <c r="AP9">
        <v>0.15744013020227854</v>
      </c>
      <c r="AQ9">
        <v>11</v>
      </c>
      <c r="AR9">
        <v>87</v>
      </c>
      <c r="AS9">
        <v>4</v>
      </c>
      <c r="AT9">
        <v>34</v>
      </c>
      <c r="AU9">
        <v>14</v>
      </c>
      <c r="AV9">
        <v>86</v>
      </c>
      <c r="AW9">
        <v>0</v>
      </c>
      <c r="AX9" t="str">
        <v>No</v>
      </c>
      <c r="AY9" t="str">
        <v>No</v>
      </c>
      <c r="AZ9" t="str">
        <v>Manoj P</v>
      </c>
    </row>
    <row r="10" spans="1:52" x14ac:dyDescent="0.35">
      <c r="C10" s="5" t="str">
        <v>E1018</v>
      </c>
      <c r="D10" t="str">
        <v>Rahul S</v>
      </c>
      <c r="E10" t="str">
        <v>Female</v>
      </c>
      <c r="F10" t="str">
        <v>HR</v>
      </c>
      <c r="G10" t="str">
        <v>Manager</v>
      </c>
      <c r="H10" t="str">
        <v>Chennai</v>
      </c>
      <c r="I10">
        <v>43903</v>
      </c>
      <c r="J10">
        <v>37480</v>
      </c>
      <c r="K10">
        <v>62841</v>
      </c>
      <c r="L10">
        <v>14562</v>
      </c>
      <c r="M10">
        <v>10504</v>
      </c>
      <c r="N10">
        <v>87907</v>
      </c>
      <c r="O10">
        <v>1054884</v>
      </c>
      <c r="P10">
        <v>0.16715201858659157</v>
      </c>
      <c r="Q10">
        <v>1</v>
      </c>
      <c r="R10">
        <v>90</v>
      </c>
      <c r="S10">
        <v>4</v>
      </c>
      <c r="T10">
        <v>29</v>
      </c>
      <c r="U10">
        <v>22</v>
      </c>
      <c r="V10">
        <v>54</v>
      </c>
      <c r="W10">
        <v>0</v>
      </c>
      <c r="X10" t="str">
        <v>No</v>
      </c>
      <c r="Y10" t="str">
        <v>No</v>
      </c>
      <c r="Z10" t="str">
        <v>Manoj P</v>
      </c>
      <c r="AC10" t="str">
        <v>E1018</v>
      </c>
      <c r="AD10" t="str">
        <v>Rahul S</v>
      </c>
      <c r="AE10" t="str">
        <v>Female</v>
      </c>
      <c r="AF10" t="str">
        <v>HR</v>
      </c>
      <c r="AG10" t="str">
        <v>Manager</v>
      </c>
      <c r="AH10" t="str">
        <v>Chennai</v>
      </c>
      <c r="AI10">
        <v>43903</v>
      </c>
      <c r="AJ10">
        <v>37480</v>
      </c>
      <c r="AK10">
        <v>62841</v>
      </c>
      <c r="AL10">
        <v>14562</v>
      </c>
      <c r="AM10">
        <v>10504</v>
      </c>
      <c r="AN10">
        <v>87907</v>
      </c>
      <c r="AO10">
        <v>1054884</v>
      </c>
      <c r="AP10">
        <v>0.16715201858659157</v>
      </c>
      <c r="AQ10">
        <v>1</v>
      </c>
      <c r="AR10">
        <v>90</v>
      </c>
      <c r="AS10">
        <v>4</v>
      </c>
      <c r="AT10">
        <v>29</v>
      </c>
      <c r="AU10">
        <v>22</v>
      </c>
      <c r="AV10">
        <v>54</v>
      </c>
      <c r="AW10">
        <v>0</v>
      </c>
      <c r="AX10" t="str">
        <v>No</v>
      </c>
      <c r="AY10" t="str">
        <v>No</v>
      </c>
      <c r="AZ10" t="str">
        <v>Manoj P</v>
      </c>
    </row>
    <row r="11" spans="1:52" x14ac:dyDescent="0.35">
      <c r="C11" s="5" t="str">
        <v>E1023</v>
      </c>
      <c r="D11" t="str">
        <v>Anitha M</v>
      </c>
      <c r="E11" t="str">
        <v>Male</v>
      </c>
      <c r="F11" t="str">
        <v>Marketing</v>
      </c>
      <c r="G11" t="str">
        <v>Associate</v>
      </c>
      <c r="H11" t="str">
        <v>Bengaluru</v>
      </c>
      <c r="I11">
        <v>43605</v>
      </c>
      <c r="J11">
        <v>32316</v>
      </c>
      <c r="K11">
        <v>76129</v>
      </c>
      <c r="L11">
        <v>4262</v>
      </c>
      <c r="M11">
        <v>9141</v>
      </c>
      <c r="N11">
        <v>89532</v>
      </c>
      <c r="O11">
        <v>1074384</v>
      </c>
      <c r="P11">
        <v>0.12007250850530021</v>
      </c>
      <c r="Q11">
        <v>2</v>
      </c>
      <c r="R11">
        <v>89</v>
      </c>
      <c r="S11">
        <v>2</v>
      </c>
      <c r="T11">
        <v>60</v>
      </c>
      <c r="U11">
        <v>23</v>
      </c>
      <c r="V11">
        <v>96</v>
      </c>
      <c r="W11">
        <v>0</v>
      </c>
      <c r="X11" t="str">
        <v>Yes</v>
      </c>
      <c r="Y11" t="str">
        <v>No</v>
      </c>
      <c r="Z11" t="str">
        <v>Lakshmi S</v>
      </c>
      <c r="AC11" t="str">
        <v>E1023</v>
      </c>
      <c r="AD11" t="str">
        <v>Anitha M</v>
      </c>
      <c r="AE11" t="str">
        <v>Male</v>
      </c>
      <c r="AF11" t="str">
        <v>Marketing</v>
      </c>
      <c r="AG11" t="str">
        <v>Associate</v>
      </c>
      <c r="AH11" t="str">
        <v>Bengaluru</v>
      </c>
      <c r="AI11">
        <v>43605</v>
      </c>
      <c r="AJ11">
        <v>32316</v>
      </c>
      <c r="AK11">
        <v>76129</v>
      </c>
      <c r="AL11">
        <v>4262</v>
      </c>
      <c r="AM11">
        <v>9141</v>
      </c>
      <c r="AN11">
        <v>89532</v>
      </c>
      <c r="AO11">
        <v>1074384</v>
      </c>
      <c r="AP11">
        <v>0.12007250850530021</v>
      </c>
      <c r="AQ11">
        <v>2</v>
      </c>
      <c r="AR11">
        <v>89</v>
      </c>
      <c r="AS11">
        <v>2</v>
      </c>
      <c r="AT11">
        <v>60</v>
      </c>
      <c r="AU11">
        <v>23</v>
      </c>
      <c r="AV11">
        <v>96</v>
      </c>
      <c r="AW11">
        <v>0</v>
      </c>
      <c r="AX11" t="str">
        <v>Yes</v>
      </c>
      <c r="AY11" t="str">
        <v>No</v>
      </c>
      <c r="AZ11" t="str">
        <v>Lakshmi S</v>
      </c>
    </row>
    <row r="12" spans="1:52" x14ac:dyDescent="0.35">
      <c r="C12" s="5" t="str">
        <v>E1024</v>
      </c>
      <c r="D12" t="str">
        <v>Divya M</v>
      </c>
      <c r="E12" t="str">
        <v>Female</v>
      </c>
      <c r="F12" t="str">
        <v>Marketing</v>
      </c>
      <c r="G12" t="str">
        <v>Manager</v>
      </c>
      <c r="H12" t="str">
        <v>Chennai</v>
      </c>
      <c r="I12">
        <v>43827</v>
      </c>
      <c r="J12">
        <v>37754</v>
      </c>
      <c r="K12">
        <v>71269</v>
      </c>
      <c r="L12">
        <v>7730</v>
      </c>
      <c r="M12">
        <v>6943</v>
      </c>
      <c r="N12">
        <v>85942</v>
      </c>
      <c r="O12">
        <v>1031304</v>
      </c>
      <c r="P12">
        <v>9.7419635465630219E-2</v>
      </c>
      <c r="Q12">
        <v>7</v>
      </c>
      <c r="R12">
        <v>92</v>
      </c>
      <c r="S12">
        <v>1</v>
      </c>
      <c r="T12">
        <v>13</v>
      </c>
      <c r="U12">
        <v>16</v>
      </c>
      <c r="V12">
        <v>98</v>
      </c>
      <c r="W12">
        <v>0</v>
      </c>
      <c r="X12" t="str">
        <v>Yes</v>
      </c>
      <c r="Y12" t="str">
        <v>No</v>
      </c>
      <c r="Z12" t="str">
        <v>Karthik V</v>
      </c>
      <c r="AC12" t="str">
        <v>E1024</v>
      </c>
      <c r="AD12" t="str">
        <v>Divya M</v>
      </c>
      <c r="AE12" t="str">
        <v>Female</v>
      </c>
      <c r="AF12" t="str">
        <v>Marketing</v>
      </c>
      <c r="AG12" t="str">
        <v>Manager</v>
      </c>
      <c r="AH12" t="str">
        <v>Chennai</v>
      </c>
      <c r="AI12">
        <v>43827</v>
      </c>
      <c r="AJ12">
        <v>37754</v>
      </c>
      <c r="AK12">
        <v>71269</v>
      </c>
      <c r="AL12">
        <v>7730</v>
      </c>
      <c r="AM12">
        <v>6943</v>
      </c>
      <c r="AN12">
        <v>85942</v>
      </c>
      <c r="AO12">
        <v>1031304</v>
      </c>
      <c r="AP12">
        <v>9.7419635465630219E-2</v>
      </c>
      <c r="AQ12">
        <v>7</v>
      </c>
      <c r="AR12">
        <v>92</v>
      </c>
      <c r="AS12">
        <v>1</v>
      </c>
      <c r="AT12">
        <v>13</v>
      </c>
      <c r="AU12">
        <v>16</v>
      </c>
      <c r="AV12">
        <v>98</v>
      </c>
      <c r="AW12">
        <v>0</v>
      </c>
      <c r="AX12" t="str">
        <v>Yes</v>
      </c>
      <c r="AY12" t="str">
        <v>No</v>
      </c>
      <c r="AZ12" t="str">
        <v>Karthik V</v>
      </c>
    </row>
    <row r="13" spans="1:52" x14ac:dyDescent="0.35">
      <c r="C13" s="5" t="str">
        <v>E1027</v>
      </c>
      <c r="D13" t="str">
        <v>Pooja S</v>
      </c>
      <c r="E13" t="str">
        <v>Male</v>
      </c>
      <c r="F13" t="str">
        <v>IT</v>
      </c>
      <c r="G13" t="str">
        <v>Associate</v>
      </c>
      <c r="H13" t="str">
        <v>Chennai</v>
      </c>
      <c r="I13">
        <v>43199</v>
      </c>
      <c r="J13">
        <v>34584</v>
      </c>
      <c r="K13">
        <v>77522</v>
      </c>
      <c r="L13">
        <v>8661</v>
      </c>
      <c r="M13">
        <v>13892</v>
      </c>
      <c r="N13">
        <v>100075</v>
      </c>
      <c r="O13">
        <v>1200900</v>
      </c>
      <c r="P13">
        <v>0.17920074301488609</v>
      </c>
      <c r="Q13">
        <v>8</v>
      </c>
      <c r="R13">
        <v>81</v>
      </c>
      <c r="S13">
        <v>1</v>
      </c>
      <c r="T13">
        <v>70</v>
      </c>
      <c r="U13">
        <v>2</v>
      </c>
      <c r="V13">
        <v>57</v>
      </c>
      <c r="W13">
        <v>0</v>
      </c>
      <c r="X13" t="str">
        <v>No</v>
      </c>
      <c r="Y13" t="str">
        <v>No</v>
      </c>
      <c r="Z13" t="str">
        <v>Manoj P</v>
      </c>
      <c r="AC13" t="str">
        <v>E1027</v>
      </c>
      <c r="AD13" t="str">
        <v>Pooja S</v>
      </c>
      <c r="AE13" t="str">
        <v>Male</v>
      </c>
      <c r="AF13" t="str">
        <v>IT</v>
      </c>
      <c r="AG13" t="str">
        <v>Associate</v>
      </c>
      <c r="AH13" t="str">
        <v>Chennai</v>
      </c>
      <c r="AI13">
        <v>43199</v>
      </c>
      <c r="AJ13">
        <v>34584</v>
      </c>
      <c r="AK13">
        <v>77522</v>
      </c>
      <c r="AL13">
        <v>8661</v>
      </c>
      <c r="AM13">
        <v>13892</v>
      </c>
      <c r="AN13">
        <v>100075</v>
      </c>
      <c r="AO13">
        <v>1200900</v>
      </c>
      <c r="AP13">
        <v>0.17920074301488609</v>
      </c>
      <c r="AQ13">
        <v>8</v>
      </c>
      <c r="AR13">
        <v>81</v>
      </c>
      <c r="AS13">
        <v>1</v>
      </c>
      <c r="AT13">
        <v>70</v>
      </c>
      <c r="AU13">
        <v>2</v>
      </c>
      <c r="AV13">
        <v>57</v>
      </c>
      <c r="AW13">
        <v>0</v>
      </c>
      <c r="AX13" t="str">
        <v>No</v>
      </c>
      <c r="AY13" t="str">
        <v>No</v>
      </c>
      <c r="AZ13" t="str">
        <v>Manoj P</v>
      </c>
    </row>
    <row r="14" spans="1:52" x14ac:dyDescent="0.35">
      <c r="C14" s="5" t="str">
        <v>E1028</v>
      </c>
      <c r="D14" t="str">
        <v>Anitha R</v>
      </c>
      <c r="E14" t="str">
        <v>Male</v>
      </c>
      <c r="F14" t="str">
        <v>Marketing</v>
      </c>
      <c r="G14" t="str">
        <v>Associate</v>
      </c>
      <c r="H14" t="str">
        <v>Hyderabad</v>
      </c>
      <c r="I14">
        <v>43083</v>
      </c>
      <c r="J14">
        <v>36116</v>
      </c>
      <c r="K14">
        <v>97768</v>
      </c>
      <c r="L14">
        <v>9025</v>
      </c>
      <c r="M14">
        <v>7072</v>
      </c>
      <c r="N14">
        <v>113865</v>
      </c>
      <c r="O14">
        <v>1366380</v>
      </c>
      <c r="P14">
        <v>7.2334506177890515E-2</v>
      </c>
      <c r="Q14">
        <v>5</v>
      </c>
      <c r="R14">
        <v>93</v>
      </c>
      <c r="S14">
        <v>1</v>
      </c>
      <c r="T14">
        <v>77</v>
      </c>
      <c r="U14">
        <v>9</v>
      </c>
      <c r="V14">
        <v>72</v>
      </c>
      <c r="W14">
        <v>0</v>
      </c>
      <c r="X14" t="str">
        <v>No</v>
      </c>
      <c r="Y14" t="str">
        <v>No</v>
      </c>
      <c r="Z14" t="str">
        <v>Priya M</v>
      </c>
      <c r="AC14" t="str">
        <v>E1028</v>
      </c>
      <c r="AD14" t="str">
        <v>Anitha R</v>
      </c>
      <c r="AE14" t="str">
        <v>Male</v>
      </c>
      <c r="AF14" t="str">
        <v>Marketing</v>
      </c>
      <c r="AG14" t="str">
        <v>Associate</v>
      </c>
      <c r="AH14" t="str">
        <v>Hyderabad</v>
      </c>
      <c r="AI14">
        <v>43083</v>
      </c>
      <c r="AJ14">
        <v>36116</v>
      </c>
      <c r="AK14">
        <v>97768</v>
      </c>
      <c r="AL14">
        <v>9025</v>
      </c>
      <c r="AM14">
        <v>7072</v>
      </c>
      <c r="AN14">
        <v>113865</v>
      </c>
      <c r="AO14">
        <v>1366380</v>
      </c>
      <c r="AP14">
        <v>7.2334506177890515E-2</v>
      </c>
      <c r="AQ14">
        <v>5</v>
      </c>
      <c r="AR14">
        <v>93</v>
      </c>
      <c r="AS14">
        <v>1</v>
      </c>
      <c r="AT14">
        <v>77</v>
      </c>
      <c r="AU14">
        <v>9</v>
      </c>
      <c r="AV14">
        <v>72</v>
      </c>
      <c r="AW14">
        <v>0</v>
      </c>
      <c r="AX14" t="str">
        <v>No</v>
      </c>
      <c r="AY14" t="str">
        <v>No</v>
      </c>
      <c r="AZ14" t="str">
        <v>Priya M</v>
      </c>
    </row>
    <row r="15" spans="1:52" x14ac:dyDescent="0.35">
      <c r="C15" s="5" t="str">
        <v>E1029</v>
      </c>
      <c r="D15" t="str">
        <v>Arjun S</v>
      </c>
      <c r="E15" t="str">
        <v>Male</v>
      </c>
      <c r="F15" t="str">
        <v>Operations</v>
      </c>
      <c r="G15" t="str">
        <v>Executive</v>
      </c>
      <c r="H15" t="str">
        <v>Chennai</v>
      </c>
      <c r="I15">
        <v>43555</v>
      </c>
      <c r="J15">
        <v>32230</v>
      </c>
      <c r="K15">
        <v>67682</v>
      </c>
      <c r="L15">
        <v>10286</v>
      </c>
      <c r="M15">
        <v>2714</v>
      </c>
      <c r="N15">
        <v>80682</v>
      </c>
      <c r="O15">
        <v>968184</v>
      </c>
      <c r="P15">
        <v>4.0099287846103837E-2</v>
      </c>
      <c r="Q15">
        <v>20</v>
      </c>
      <c r="R15">
        <v>97</v>
      </c>
      <c r="S15">
        <v>2</v>
      </c>
      <c r="T15">
        <v>51</v>
      </c>
      <c r="U15">
        <v>20</v>
      </c>
      <c r="V15">
        <v>93</v>
      </c>
      <c r="W15">
        <v>0</v>
      </c>
      <c r="X15" t="str">
        <v>Yes</v>
      </c>
      <c r="Y15" t="str">
        <v>No</v>
      </c>
      <c r="Z15" t="str">
        <v>Lakshmi S</v>
      </c>
      <c r="AC15" t="str">
        <v>E1029</v>
      </c>
      <c r="AD15" t="str">
        <v>Arjun S</v>
      </c>
      <c r="AE15" t="str">
        <v>Male</v>
      </c>
      <c r="AF15" t="str">
        <v>Operations</v>
      </c>
      <c r="AG15" t="str">
        <v>Executive</v>
      </c>
      <c r="AH15" t="str">
        <v>Chennai</v>
      </c>
      <c r="AI15">
        <v>43555</v>
      </c>
      <c r="AJ15">
        <v>32230</v>
      </c>
      <c r="AK15">
        <v>67682</v>
      </c>
      <c r="AL15">
        <v>10286</v>
      </c>
      <c r="AM15">
        <v>2714</v>
      </c>
      <c r="AN15">
        <v>80682</v>
      </c>
      <c r="AO15">
        <v>968184</v>
      </c>
      <c r="AP15">
        <v>4.0099287846103837E-2</v>
      </c>
      <c r="AQ15">
        <v>20</v>
      </c>
      <c r="AR15">
        <v>97</v>
      </c>
      <c r="AS15">
        <v>2</v>
      </c>
      <c r="AT15">
        <v>51</v>
      </c>
      <c r="AU15">
        <v>20</v>
      </c>
      <c r="AV15">
        <v>93</v>
      </c>
      <c r="AW15">
        <v>0</v>
      </c>
      <c r="AX15" t="str">
        <v>Yes</v>
      </c>
      <c r="AY15" t="str">
        <v>No</v>
      </c>
      <c r="AZ15" t="str">
        <v>Lakshmi S</v>
      </c>
    </row>
    <row r="16" spans="1:52" x14ac:dyDescent="0.35">
      <c r="C16" s="5" t="str">
        <v>E1031</v>
      </c>
      <c r="D16" t="str">
        <v>Asha K</v>
      </c>
      <c r="E16" t="str">
        <v>Female</v>
      </c>
      <c r="F16" t="str">
        <v>IT</v>
      </c>
      <c r="G16" t="str">
        <v>Analyst</v>
      </c>
      <c r="H16" t="str">
        <v>Madurai</v>
      </c>
      <c r="I16">
        <v>42237</v>
      </c>
      <c r="J16">
        <v>33396</v>
      </c>
      <c r="K16">
        <v>72336</v>
      </c>
      <c r="L16">
        <v>5131</v>
      </c>
      <c r="M16">
        <v>5129</v>
      </c>
      <c r="N16">
        <v>82596</v>
      </c>
      <c r="O16">
        <v>991152</v>
      </c>
      <c r="P16">
        <v>7.0905220084052201E-2</v>
      </c>
      <c r="Q16">
        <v>14</v>
      </c>
      <c r="R16">
        <v>82</v>
      </c>
      <c r="S16">
        <v>5</v>
      </c>
      <c r="T16">
        <v>33</v>
      </c>
      <c r="U16">
        <v>16</v>
      </c>
      <c r="V16">
        <v>100</v>
      </c>
      <c r="W16">
        <v>0</v>
      </c>
      <c r="X16" t="str">
        <v>No</v>
      </c>
      <c r="Y16" t="str">
        <v>No</v>
      </c>
      <c r="Z16" t="str">
        <v>Ravi Kumar</v>
      </c>
      <c r="AC16" t="str">
        <v>E1031</v>
      </c>
      <c r="AD16" t="str">
        <v>Asha K</v>
      </c>
      <c r="AE16" t="str">
        <v>Female</v>
      </c>
      <c r="AF16" t="str">
        <v>IT</v>
      </c>
      <c r="AG16" t="str">
        <v>Analyst</v>
      </c>
      <c r="AH16" t="str">
        <v>Madurai</v>
      </c>
      <c r="AI16">
        <v>42237</v>
      </c>
      <c r="AJ16">
        <v>33396</v>
      </c>
      <c r="AK16">
        <v>72336</v>
      </c>
      <c r="AL16">
        <v>5131</v>
      </c>
      <c r="AM16">
        <v>5129</v>
      </c>
      <c r="AN16">
        <v>82596</v>
      </c>
      <c r="AO16">
        <v>991152</v>
      </c>
      <c r="AP16">
        <v>7.0905220084052201E-2</v>
      </c>
      <c r="AQ16">
        <v>14</v>
      </c>
      <c r="AR16">
        <v>82</v>
      </c>
      <c r="AS16">
        <v>5</v>
      </c>
      <c r="AT16">
        <v>33</v>
      </c>
      <c r="AU16">
        <v>16</v>
      </c>
      <c r="AV16">
        <v>100</v>
      </c>
      <c r="AW16">
        <v>0</v>
      </c>
      <c r="AX16" t="str">
        <v>No</v>
      </c>
      <c r="AY16" t="str">
        <v>No</v>
      </c>
      <c r="AZ16" t="str">
        <v>Ravi Kumar</v>
      </c>
    </row>
    <row r="17" spans="3:52" x14ac:dyDescent="0.35">
      <c r="C17" s="5" t="str">
        <v>E1034</v>
      </c>
      <c r="D17" t="str">
        <v>Karthik K</v>
      </c>
      <c r="E17" t="str">
        <v>Male</v>
      </c>
      <c r="F17" t="str">
        <v>Marketing</v>
      </c>
      <c r="G17" t="str">
        <v>Team Lead</v>
      </c>
      <c r="H17" t="str">
        <v>Madurai</v>
      </c>
      <c r="I17">
        <v>44333</v>
      </c>
      <c r="J17">
        <v>30098</v>
      </c>
      <c r="K17">
        <v>96250</v>
      </c>
      <c r="L17">
        <v>14703</v>
      </c>
      <c r="M17">
        <v>4080</v>
      </c>
      <c r="N17">
        <v>115033</v>
      </c>
      <c r="O17">
        <v>1380396</v>
      </c>
      <c r="P17">
        <v>4.2389610389610387E-2</v>
      </c>
      <c r="Q17">
        <v>10</v>
      </c>
      <c r="R17">
        <v>89</v>
      </c>
      <c r="S17">
        <v>5</v>
      </c>
      <c r="T17">
        <v>70</v>
      </c>
      <c r="U17">
        <v>25</v>
      </c>
      <c r="V17">
        <v>92</v>
      </c>
      <c r="W17">
        <v>0</v>
      </c>
      <c r="X17" t="str">
        <v>No</v>
      </c>
      <c r="Y17" t="str">
        <v>No</v>
      </c>
      <c r="Z17" t="str">
        <v>Ravi Kumar</v>
      </c>
      <c r="AC17" t="str">
        <v>E1034</v>
      </c>
      <c r="AD17" t="str">
        <v>Karthik K</v>
      </c>
      <c r="AE17" t="str">
        <v>Male</v>
      </c>
      <c r="AF17" t="str">
        <v>Marketing</v>
      </c>
      <c r="AG17" t="str">
        <v>Team Lead</v>
      </c>
      <c r="AH17" t="str">
        <v>Madurai</v>
      </c>
      <c r="AI17">
        <v>44333</v>
      </c>
      <c r="AJ17">
        <v>30098</v>
      </c>
      <c r="AK17">
        <v>96250</v>
      </c>
      <c r="AL17">
        <v>14703</v>
      </c>
      <c r="AM17">
        <v>4080</v>
      </c>
      <c r="AN17">
        <v>115033</v>
      </c>
      <c r="AO17">
        <v>1380396</v>
      </c>
      <c r="AP17">
        <v>4.2389610389610387E-2</v>
      </c>
      <c r="AQ17">
        <v>10</v>
      </c>
      <c r="AR17">
        <v>89</v>
      </c>
      <c r="AS17">
        <v>5</v>
      </c>
      <c r="AT17">
        <v>70</v>
      </c>
      <c r="AU17">
        <v>25</v>
      </c>
      <c r="AV17">
        <v>92</v>
      </c>
      <c r="AW17">
        <v>0</v>
      </c>
      <c r="AX17" t="str">
        <v>No</v>
      </c>
      <c r="AY17" t="str">
        <v>No</v>
      </c>
      <c r="AZ17" t="str">
        <v>Ravi Kumar</v>
      </c>
    </row>
    <row r="18" spans="3:52" x14ac:dyDescent="0.35">
      <c r="C18" s="5" t="str">
        <v>E1035</v>
      </c>
      <c r="D18" t="str">
        <v>Rahul S</v>
      </c>
      <c r="E18" t="str">
        <v>Female</v>
      </c>
      <c r="F18" t="str">
        <v>HR</v>
      </c>
      <c r="G18" t="str">
        <v>Team Lead</v>
      </c>
      <c r="H18" t="str">
        <v>Coimbatore</v>
      </c>
      <c r="I18">
        <v>44042</v>
      </c>
      <c r="J18">
        <v>29957</v>
      </c>
      <c r="K18">
        <v>80407</v>
      </c>
      <c r="L18">
        <v>4075</v>
      </c>
      <c r="M18">
        <v>14093</v>
      </c>
      <c r="N18">
        <v>98575</v>
      </c>
      <c r="O18">
        <v>1182900</v>
      </c>
      <c r="P18">
        <v>0.17527080975536954</v>
      </c>
      <c r="Q18">
        <v>5</v>
      </c>
      <c r="R18">
        <v>85</v>
      </c>
      <c r="S18">
        <v>1</v>
      </c>
      <c r="T18">
        <v>70</v>
      </c>
      <c r="U18">
        <v>7</v>
      </c>
      <c r="V18">
        <v>54</v>
      </c>
      <c r="W18">
        <v>0</v>
      </c>
      <c r="X18" t="str">
        <v>No</v>
      </c>
      <c r="Y18" t="str">
        <v>No</v>
      </c>
      <c r="Z18" t="str">
        <v>Karthik V</v>
      </c>
      <c r="AC18" t="str">
        <v>E1035</v>
      </c>
      <c r="AD18" t="str">
        <v>Rahul S</v>
      </c>
      <c r="AE18" t="str">
        <v>Female</v>
      </c>
      <c r="AF18" t="str">
        <v>HR</v>
      </c>
      <c r="AG18" t="str">
        <v>Team Lead</v>
      </c>
      <c r="AH18" t="str">
        <v>Coimbatore</v>
      </c>
      <c r="AI18">
        <v>44042</v>
      </c>
      <c r="AJ18">
        <v>29957</v>
      </c>
      <c r="AK18">
        <v>80407</v>
      </c>
      <c r="AL18">
        <v>4075</v>
      </c>
      <c r="AM18">
        <v>14093</v>
      </c>
      <c r="AN18">
        <v>98575</v>
      </c>
      <c r="AO18">
        <v>1182900</v>
      </c>
      <c r="AP18">
        <v>0.17527080975536954</v>
      </c>
      <c r="AQ18">
        <v>5</v>
      </c>
      <c r="AR18">
        <v>85</v>
      </c>
      <c r="AS18">
        <v>1</v>
      </c>
      <c r="AT18">
        <v>70</v>
      </c>
      <c r="AU18">
        <v>7</v>
      </c>
      <c r="AV18">
        <v>54</v>
      </c>
      <c r="AW18">
        <v>0</v>
      </c>
      <c r="AX18" t="str">
        <v>No</v>
      </c>
      <c r="AY18" t="str">
        <v>No</v>
      </c>
      <c r="AZ18" t="str">
        <v>Karthik V</v>
      </c>
    </row>
    <row r="19" spans="3:52" x14ac:dyDescent="0.35">
      <c r="C19" s="5" t="str">
        <v>E1037</v>
      </c>
      <c r="D19" t="str">
        <v>Manoj K</v>
      </c>
      <c r="E19" t="str">
        <v>Male</v>
      </c>
      <c r="F19" t="str">
        <v>Sales</v>
      </c>
      <c r="G19" t="str">
        <v>Associate</v>
      </c>
      <c r="H19" t="str">
        <v>Bengaluru</v>
      </c>
      <c r="I19">
        <v>44525</v>
      </c>
      <c r="J19">
        <v>35517</v>
      </c>
      <c r="K19">
        <v>68746</v>
      </c>
      <c r="L19">
        <v>13844</v>
      </c>
      <c r="M19">
        <v>3989</v>
      </c>
      <c r="N19">
        <v>86579</v>
      </c>
      <c r="O19">
        <v>1038948</v>
      </c>
      <c r="P19">
        <v>5.8025194193116691E-2</v>
      </c>
      <c r="Q19">
        <v>13</v>
      </c>
      <c r="R19">
        <v>93</v>
      </c>
      <c r="S19">
        <v>1</v>
      </c>
      <c r="T19">
        <v>11</v>
      </c>
      <c r="U19">
        <v>1</v>
      </c>
      <c r="V19">
        <v>63</v>
      </c>
      <c r="W19">
        <v>0</v>
      </c>
      <c r="X19" t="str">
        <v>No</v>
      </c>
      <c r="Y19" t="str">
        <v>No</v>
      </c>
      <c r="Z19" t="str">
        <v>Priya M</v>
      </c>
      <c r="AC19" t="str">
        <v>E1037</v>
      </c>
      <c r="AD19" t="str">
        <v>Manoj K</v>
      </c>
      <c r="AE19" t="str">
        <v>Male</v>
      </c>
      <c r="AF19" t="str">
        <v>Sales</v>
      </c>
      <c r="AG19" t="str">
        <v>Associate</v>
      </c>
      <c r="AH19" t="str">
        <v>Bengaluru</v>
      </c>
      <c r="AI19">
        <v>44525</v>
      </c>
      <c r="AJ19">
        <v>35517</v>
      </c>
      <c r="AK19">
        <v>68746</v>
      </c>
      <c r="AL19">
        <v>13844</v>
      </c>
      <c r="AM19">
        <v>3989</v>
      </c>
      <c r="AN19">
        <v>86579</v>
      </c>
      <c r="AO19">
        <v>1038948</v>
      </c>
      <c r="AP19">
        <v>5.8025194193116691E-2</v>
      </c>
      <c r="AQ19">
        <v>13</v>
      </c>
      <c r="AR19">
        <v>93</v>
      </c>
      <c r="AS19">
        <v>1</v>
      </c>
      <c r="AT19">
        <v>11</v>
      </c>
      <c r="AU19">
        <v>1</v>
      </c>
      <c r="AV19">
        <v>63</v>
      </c>
      <c r="AW19">
        <v>0</v>
      </c>
      <c r="AX19" t="str">
        <v>No</v>
      </c>
      <c r="AY19" t="str">
        <v>No</v>
      </c>
      <c r="AZ19" t="str">
        <v>Priya M</v>
      </c>
    </row>
    <row r="20" spans="3:52" x14ac:dyDescent="0.35">
      <c r="C20" s="5" t="str">
        <v>E1038</v>
      </c>
      <c r="D20" t="str">
        <v>Rahul V</v>
      </c>
      <c r="E20" t="str">
        <v>Female</v>
      </c>
      <c r="F20" t="str">
        <v>Finance</v>
      </c>
      <c r="G20" t="str">
        <v>Manager</v>
      </c>
      <c r="H20" t="str">
        <v>Bengaluru</v>
      </c>
      <c r="I20">
        <v>44895</v>
      </c>
      <c r="J20">
        <v>33533</v>
      </c>
      <c r="K20">
        <v>62181</v>
      </c>
      <c r="L20">
        <v>9733</v>
      </c>
      <c r="M20">
        <v>14837</v>
      </c>
      <c r="N20">
        <v>86751</v>
      </c>
      <c r="O20">
        <v>1041012</v>
      </c>
      <c r="P20">
        <v>0.23860986474968238</v>
      </c>
      <c r="Q20">
        <v>6</v>
      </c>
      <c r="R20">
        <v>97</v>
      </c>
      <c r="S20">
        <v>5</v>
      </c>
      <c r="T20">
        <v>70</v>
      </c>
      <c r="U20">
        <v>2</v>
      </c>
      <c r="V20">
        <v>50</v>
      </c>
      <c r="W20">
        <v>0</v>
      </c>
      <c r="X20" t="str">
        <v>No</v>
      </c>
      <c r="Y20" t="str">
        <v>Yes</v>
      </c>
      <c r="Z20" t="str">
        <v>Karthik V</v>
      </c>
      <c r="AC20" t="str">
        <v>E1038</v>
      </c>
      <c r="AD20" t="str">
        <v>Rahul V</v>
      </c>
      <c r="AE20" t="str">
        <v>Female</v>
      </c>
      <c r="AF20" t="str">
        <v>Finance</v>
      </c>
      <c r="AG20" t="str">
        <v>Manager</v>
      </c>
      <c r="AH20" t="str">
        <v>Bengaluru</v>
      </c>
      <c r="AI20">
        <v>44895</v>
      </c>
      <c r="AJ20">
        <v>33533</v>
      </c>
      <c r="AK20">
        <v>62181</v>
      </c>
      <c r="AL20">
        <v>9733</v>
      </c>
      <c r="AM20">
        <v>14837</v>
      </c>
      <c r="AN20">
        <v>86751</v>
      </c>
      <c r="AO20">
        <v>1041012</v>
      </c>
      <c r="AP20">
        <v>0.23860986474968238</v>
      </c>
      <c r="AQ20">
        <v>6</v>
      </c>
      <c r="AR20">
        <v>97</v>
      </c>
      <c r="AS20">
        <v>5</v>
      </c>
      <c r="AT20">
        <v>70</v>
      </c>
      <c r="AU20">
        <v>2</v>
      </c>
      <c r="AV20">
        <v>50</v>
      </c>
      <c r="AW20">
        <v>0</v>
      </c>
      <c r="AX20" t="str">
        <v>No</v>
      </c>
      <c r="AY20" t="str">
        <v>Yes</v>
      </c>
      <c r="AZ20" t="str">
        <v>Karthik V</v>
      </c>
    </row>
    <row r="21" spans="3:52" x14ac:dyDescent="0.35">
      <c r="C21" s="5" t="str">
        <v>E1040</v>
      </c>
      <c r="D21" t="str">
        <v>Ravi R</v>
      </c>
      <c r="E21" t="str">
        <v>Male</v>
      </c>
      <c r="F21" t="str">
        <v>IT</v>
      </c>
      <c r="G21" t="str">
        <v>Executive</v>
      </c>
      <c r="H21" t="str">
        <v>Chennai</v>
      </c>
      <c r="I21">
        <v>44404</v>
      </c>
      <c r="J21">
        <v>30807</v>
      </c>
      <c r="K21">
        <v>89334</v>
      </c>
      <c r="L21">
        <v>16143</v>
      </c>
      <c r="M21">
        <v>7102</v>
      </c>
      <c r="N21">
        <v>112579</v>
      </c>
      <c r="O21">
        <v>1350948</v>
      </c>
      <c r="P21">
        <v>7.9499406720845364E-2</v>
      </c>
      <c r="Q21">
        <v>14</v>
      </c>
      <c r="R21">
        <v>85</v>
      </c>
      <c r="S21">
        <v>1</v>
      </c>
      <c r="T21">
        <v>79</v>
      </c>
      <c r="U21">
        <v>2</v>
      </c>
      <c r="V21">
        <v>64</v>
      </c>
      <c r="W21">
        <v>0</v>
      </c>
      <c r="X21" t="str">
        <v>No</v>
      </c>
      <c r="Y21" t="str">
        <v>No</v>
      </c>
      <c r="Z21" t="str">
        <v>Divya R</v>
      </c>
      <c r="AC21" t="str">
        <v>E1040</v>
      </c>
      <c r="AD21" t="str">
        <v>Ravi R</v>
      </c>
      <c r="AE21" t="str">
        <v>Male</v>
      </c>
      <c r="AF21" t="str">
        <v>IT</v>
      </c>
      <c r="AG21" t="str">
        <v>Executive</v>
      </c>
      <c r="AH21" t="str">
        <v>Chennai</v>
      </c>
      <c r="AI21">
        <v>44404</v>
      </c>
      <c r="AJ21">
        <v>30807</v>
      </c>
      <c r="AK21">
        <v>89334</v>
      </c>
      <c r="AL21">
        <v>16143</v>
      </c>
      <c r="AM21">
        <v>7102</v>
      </c>
      <c r="AN21">
        <v>112579</v>
      </c>
      <c r="AO21">
        <v>1350948</v>
      </c>
      <c r="AP21">
        <v>7.9499406720845364E-2</v>
      </c>
      <c r="AQ21">
        <v>14</v>
      </c>
      <c r="AR21">
        <v>85</v>
      </c>
      <c r="AS21">
        <v>1</v>
      </c>
      <c r="AT21">
        <v>79</v>
      </c>
      <c r="AU21">
        <v>2</v>
      </c>
      <c r="AV21">
        <v>64</v>
      </c>
      <c r="AW21">
        <v>0</v>
      </c>
      <c r="AX21" t="str">
        <v>No</v>
      </c>
      <c r="AY21" t="str">
        <v>No</v>
      </c>
      <c r="AZ21" t="str">
        <v>Divya R</v>
      </c>
    </row>
    <row r="22" spans="3:52" x14ac:dyDescent="0.35">
      <c r="C22" s="5" t="str">
        <v>E1041</v>
      </c>
      <c r="D22" t="str">
        <v>Rahul P</v>
      </c>
      <c r="E22" t="str">
        <v>Male</v>
      </c>
      <c r="F22" t="str">
        <v>Sales</v>
      </c>
      <c r="G22" t="str">
        <v>Manager</v>
      </c>
      <c r="H22" t="str">
        <v>Coimbatore</v>
      </c>
      <c r="I22">
        <v>45607</v>
      </c>
      <c r="J22">
        <v>37826</v>
      </c>
      <c r="K22">
        <v>90212</v>
      </c>
      <c r="L22">
        <v>8492</v>
      </c>
      <c r="M22">
        <v>6165</v>
      </c>
      <c r="N22">
        <v>104869</v>
      </c>
      <c r="O22">
        <v>1258428</v>
      </c>
      <c r="P22">
        <v>6.8339023633219531E-2</v>
      </c>
      <c r="Q22">
        <v>20</v>
      </c>
      <c r="R22">
        <v>100</v>
      </c>
      <c r="S22">
        <v>4</v>
      </c>
      <c r="T22">
        <v>34</v>
      </c>
      <c r="U22">
        <v>10</v>
      </c>
      <c r="V22">
        <v>93</v>
      </c>
      <c r="W22">
        <v>0</v>
      </c>
      <c r="X22" t="str">
        <v>No</v>
      </c>
      <c r="Y22" t="str">
        <v>Yes</v>
      </c>
      <c r="Z22" t="str">
        <v>Lakshmi S</v>
      </c>
      <c r="AC22" t="str">
        <v>E1041</v>
      </c>
      <c r="AD22" t="str">
        <v>Rahul P</v>
      </c>
      <c r="AE22" t="str">
        <v>Male</v>
      </c>
      <c r="AF22" t="str">
        <v>Sales</v>
      </c>
      <c r="AG22" t="str">
        <v>Manager</v>
      </c>
      <c r="AH22" t="str">
        <v>Coimbatore</v>
      </c>
      <c r="AI22">
        <v>45607</v>
      </c>
      <c r="AJ22">
        <v>37826</v>
      </c>
      <c r="AK22">
        <v>90212</v>
      </c>
      <c r="AL22">
        <v>8492</v>
      </c>
      <c r="AM22">
        <v>6165</v>
      </c>
      <c r="AN22">
        <v>104869</v>
      </c>
      <c r="AO22">
        <v>1258428</v>
      </c>
      <c r="AP22">
        <v>6.8339023633219531E-2</v>
      </c>
      <c r="AQ22">
        <v>20</v>
      </c>
      <c r="AR22">
        <v>100</v>
      </c>
      <c r="AS22">
        <v>4</v>
      </c>
      <c r="AT22">
        <v>34</v>
      </c>
      <c r="AU22">
        <v>10</v>
      </c>
      <c r="AV22">
        <v>93</v>
      </c>
      <c r="AW22">
        <v>0</v>
      </c>
      <c r="AX22" t="str">
        <v>No</v>
      </c>
      <c r="AY22" t="str">
        <v>Yes</v>
      </c>
      <c r="AZ22" t="str">
        <v>Lakshmi S</v>
      </c>
    </row>
    <row r="23" spans="3:52" x14ac:dyDescent="0.35">
      <c r="C23" s="5" t="str">
        <v>E1042</v>
      </c>
      <c r="D23" t="str">
        <v>Anitha K</v>
      </c>
      <c r="E23" t="str">
        <v>Male</v>
      </c>
      <c r="F23" t="str">
        <v>Operations</v>
      </c>
      <c r="G23" t="str">
        <v>Manager</v>
      </c>
      <c r="H23" t="str">
        <v>Mumbai</v>
      </c>
      <c r="I23">
        <v>45174</v>
      </c>
      <c r="J23">
        <v>31575</v>
      </c>
      <c r="K23">
        <v>73367</v>
      </c>
      <c r="L23">
        <v>3663</v>
      </c>
      <c r="M23">
        <v>3298</v>
      </c>
      <c r="N23">
        <v>80328</v>
      </c>
      <c r="O23">
        <v>963936</v>
      </c>
      <c r="P23">
        <v>4.4952090176782478E-2</v>
      </c>
      <c r="Q23">
        <v>5</v>
      </c>
      <c r="R23">
        <v>100</v>
      </c>
      <c r="S23">
        <v>2</v>
      </c>
      <c r="T23">
        <v>51</v>
      </c>
      <c r="U23">
        <v>23</v>
      </c>
      <c r="V23">
        <v>61</v>
      </c>
      <c r="W23">
        <v>0</v>
      </c>
      <c r="X23" t="str">
        <v>No</v>
      </c>
      <c r="Y23" t="str">
        <v>No</v>
      </c>
      <c r="Z23" t="str">
        <v>Lakshmi S</v>
      </c>
      <c r="AC23" t="str">
        <v>E1042</v>
      </c>
      <c r="AD23" t="str">
        <v>Anitha K</v>
      </c>
      <c r="AE23" t="str">
        <v>Male</v>
      </c>
      <c r="AF23" t="str">
        <v>Operations</v>
      </c>
      <c r="AG23" t="str">
        <v>Manager</v>
      </c>
      <c r="AH23" t="str">
        <v>Mumbai</v>
      </c>
      <c r="AI23">
        <v>45174</v>
      </c>
      <c r="AJ23">
        <v>31575</v>
      </c>
      <c r="AK23">
        <v>73367</v>
      </c>
      <c r="AL23">
        <v>3663</v>
      </c>
      <c r="AM23">
        <v>3298</v>
      </c>
      <c r="AN23">
        <v>80328</v>
      </c>
      <c r="AO23">
        <v>963936</v>
      </c>
      <c r="AP23">
        <v>4.4952090176782478E-2</v>
      </c>
      <c r="AQ23">
        <v>5</v>
      </c>
      <c r="AR23">
        <v>100</v>
      </c>
      <c r="AS23">
        <v>2</v>
      </c>
      <c r="AT23">
        <v>51</v>
      </c>
      <c r="AU23">
        <v>23</v>
      </c>
      <c r="AV23">
        <v>61</v>
      </c>
      <c r="AW23">
        <v>0</v>
      </c>
      <c r="AX23" t="str">
        <v>No</v>
      </c>
      <c r="AY23" t="str">
        <v>No</v>
      </c>
      <c r="AZ23" t="str">
        <v>Lakshmi S</v>
      </c>
    </row>
    <row r="24" spans="3:52" x14ac:dyDescent="0.35">
      <c r="C24" s="5" t="str">
        <v>E1044</v>
      </c>
      <c r="D24" t="str">
        <v>Ravi K</v>
      </c>
      <c r="E24" t="str">
        <v>Female</v>
      </c>
      <c r="F24" t="str">
        <v>Sales</v>
      </c>
      <c r="G24" t="str">
        <v>Associate</v>
      </c>
      <c r="H24" t="str">
        <v>Chennai</v>
      </c>
      <c r="I24">
        <v>43345</v>
      </c>
      <c r="J24">
        <v>36485</v>
      </c>
      <c r="K24">
        <v>85796</v>
      </c>
      <c r="L24">
        <v>3237</v>
      </c>
      <c r="M24">
        <v>2829</v>
      </c>
      <c r="N24">
        <v>91862</v>
      </c>
      <c r="O24">
        <v>1102344</v>
      </c>
      <c r="P24">
        <v>3.2973565201174879E-2</v>
      </c>
      <c r="Q24">
        <v>2</v>
      </c>
      <c r="R24">
        <v>91</v>
      </c>
      <c r="S24">
        <v>3</v>
      </c>
      <c r="T24">
        <v>41</v>
      </c>
      <c r="U24">
        <v>24</v>
      </c>
      <c r="V24">
        <v>65</v>
      </c>
      <c r="W24">
        <v>0</v>
      </c>
      <c r="X24" t="str">
        <v>No</v>
      </c>
      <c r="Y24" t="str">
        <v>No</v>
      </c>
      <c r="Z24" t="str">
        <v>Priya M</v>
      </c>
      <c r="AC24" t="str">
        <v>E1044</v>
      </c>
      <c r="AD24" t="str">
        <v>Ravi K</v>
      </c>
      <c r="AE24" t="str">
        <v>Female</v>
      </c>
      <c r="AF24" t="str">
        <v>Sales</v>
      </c>
      <c r="AG24" t="str">
        <v>Associate</v>
      </c>
      <c r="AH24" t="str">
        <v>Chennai</v>
      </c>
      <c r="AI24">
        <v>43345</v>
      </c>
      <c r="AJ24">
        <v>36485</v>
      </c>
      <c r="AK24">
        <v>85796</v>
      </c>
      <c r="AL24">
        <v>3237</v>
      </c>
      <c r="AM24">
        <v>2829</v>
      </c>
      <c r="AN24">
        <v>91862</v>
      </c>
      <c r="AO24">
        <v>1102344</v>
      </c>
      <c r="AP24">
        <v>3.2973565201174879E-2</v>
      </c>
      <c r="AQ24">
        <v>2</v>
      </c>
      <c r="AR24">
        <v>91</v>
      </c>
      <c r="AS24">
        <v>3</v>
      </c>
      <c r="AT24">
        <v>41</v>
      </c>
      <c r="AU24">
        <v>24</v>
      </c>
      <c r="AV24">
        <v>65</v>
      </c>
      <c r="AW24">
        <v>0</v>
      </c>
      <c r="AX24" t="str">
        <v>No</v>
      </c>
      <c r="AY24" t="str">
        <v>No</v>
      </c>
      <c r="AZ24" t="str">
        <v>Priya M</v>
      </c>
    </row>
    <row r="25" spans="3:52" x14ac:dyDescent="0.35">
      <c r="C25" s="5" t="str">
        <v>E1045</v>
      </c>
      <c r="D25" t="str">
        <v>Keerthana M</v>
      </c>
      <c r="E25" t="str">
        <v>Female</v>
      </c>
      <c r="F25" t="str">
        <v>Operations</v>
      </c>
      <c r="G25" t="str">
        <v>Senior Analyst</v>
      </c>
      <c r="H25" t="str">
        <v>Chennai</v>
      </c>
      <c r="I25">
        <v>42761</v>
      </c>
      <c r="J25">
        <v>31296</v>
      </c>
      <c r="K25">
        <v>83823</v>
      </c>
      <c r="L25">
        <v>6315</v>
      </c>
      <c r="M25">
        <v>14364</v>
      </c>
      <c r="N25">
        <v>104502</v>
      </c>
      <c r="O25">
        <v>1254024</v>
      </c>
      <c r="P25">
        <v>0.17136108228051966</v>
      </c>
      <c r="Q25">
        <v>16</v>
      </c>
      <c r="R25">
        <v>93</v>
      </c>
      <c r="S25">
        <v>1</v>
      </c>
      <c r="T25">
        <v>44</v>
      </c>
      <c r="U25">
        <v>20</v>
      </c>
      <c r="V25">
        <v>58</v>
      </c>
      <c r="W25">
        <v>0</v>
      </c>
      <c r="X25" t="str">
        <v>No</v>
      </c>
      <c r="Y25" t="str">
        <v>No</v>
      </c>
      <c r="Z25" t="str">
        <v>Manoj P</v>
      </c>
      <c r="AC25" t="str">
        <v>E1045</v>
      </c>
      <c r="AD25" t="str">
        <v>Keerthana M</v>
      </c>
      <c r="AE25" t="str">
        <v>Female</v>
      </c>
      <c r="AF25" t="str">
        <v>Operations</v>
      </c>
      <c r="AG25" t="str">
        <v>Senior Analyst</v>
      </c>
      <c r="AH25" t="str">
        <v>Chennai</v>
      </c>
      <c r="AI25">
        <v>42761</v>
      </c>
      <c r="AJ25">
        <v>31296</v>
      </c>
      <c r="AK25">
        <v>83823</v>
      </c>
      <c r="AL25">
        <v>6315</v>
      </c>
      <c r="AM25">
        <v>14364</v>
      </c>
      <c r="AN25">
        <v>104502</v>
      </c>
      <c r="AO25">
        <v>1254024</v>
      </c>
      <c r="AP25">
        <v>0.17136108228051966</v>
      </c>
      <c r="AQ25">
        <v>16</v>
      </c>
      <c r="AR25">
        <v>93</v>
      </c>
      <c r="AS25">
        <v>1</v>
      </c>
      <c r="AT25">
        <v>44</v>
      </c>
      <c r="AU25">
        <v>20</v>
      </c>
      <c r="AV25">
        <v>58</v>
      </c>
      <c r="AW25">
        <v>0</v>
      </c>
      <c r="AX25" t="str">
        <v>No</v>
      </c>
      <c r="AY25" t="str">
        <v>No</v>
      </c>
      <c r="AZ25" t="str">
        <v>Manoj P</v>
      </c>
    </row>
    <row r="26" spans="3:52" x14ac:dyDescent="0.35">
      <c r="C26" s="5" t="str">
        <v>E1046</v>
      </c>
      <c r="D26" t="str">
        <v>Keerthana S</v>
      </c>
      <c r="E26" t="str">
        <v>Male</v>
      </c>
      <c r="F26" t="str">
        <v>Finance</v>
      </c>
      <c r="G26" t="str">
        <v>Senior Analyst</v>
      </c>
      <c r="H26" t="str">
        <v>Chennai</v>
      </c>
      <c r="I26">
        <v>42488</v>
      </c>
      <c r="J26">
        <v>31326</v>
      </c>
      <c r="K26">
        <v>92776</v>
      </c>
      <c r="L26">
        <v>3164</v>
      </c>
      <c r="M26">
        <v>10829</v>
      </c>
      <c r="N26">
        <v>106769</v>
      </c>
      <c r="O26">
        <v>1281228</v>
      </c>
      <c r="P26">
        <v>0.11672199706820729</v>
      </c>
      <c r="Q26">
        <v>16</v>
      </c>
      <c r="R26">
        <v>96</v>
      </c>
      <c r="S26">
        <v>4</v>
      </c>
      <c r="T26">
        <v>51</v>
      </c>
      <c r="U26">
        <v>22</v>
      </c>
      <c r="V26">
        <v>81</v>
      </c>
      <c r="W26">
        <v>0</v>
      </c>
      <c r="X26" t="str">
        <v>Yes</v>
      </c>
      <c r="Y26" t="str">
        <v>Yes</v>
      </c>
      <c r="Z26" t="str">
        <v>Lakshmi S</v>
      </c>
      <c r="AC26" t="str">
        <v>E1046</v>
      </c>
      <c r="AD26" t="str">
        <v>Keerthana S</v>
      </c>
      <c r="AE26" t="str">
        <v>Male</v>
      </c>
      <c r="AF26" t="str">
        <v>Finance</v>
      </c>
      <c r="AG26" t="str">
        <v>Senior Analyst</v>
      </c>
      <c r="AH26" t="str">
        <v>Chennai</v>
      </c>
      <c r="AI26">
        <v>42488</v>
      </c>
      <c r="AJ26">
        <v>31326</v>
      </c>
      <c r="AK26">
        <v>92776</v>
      </c>
      <c r="AL26">
        <v>3164</v>
      </c>
      <c r="AM26">
        <v>10829</v>
      </c>
      <c r="AN26">
        <v>106769</v>
      </c>
      <c r="AO26">
        <v>1281228</v>
      </c>
      <c r="AP26">
        <v>0.11672199706820729</v>
      </c>
      <c r="AQ26">
        <v>16</v>
      </c>
      <c r="AR26">
        <v>96</v>
      </c>
      <c r="AS26">
        <v>4</v>
      </c>
      <c r="AT26">
        <v>51</v>
      </c>
      <c r="AU26">
        <v>22</v>
      </c>
      <c r="AV26">
        <v>81</v>
      </c>
      <c r="AW26">
        <v>0</v>
      </c>
      <c r="AX26" t="str">
        <v>Yes</v>
      </c>
      <c r="AY26" t="str">
        <v>Yes</v>
      </c>
      <c r="AZ26" t="str">
        <v>Lakshmi S</v>
      </c>
    </row>
    <row r="27" spans="3:52" x14ac:dyDescent="0.35">
      <c r="C27" s="5" t="str">
        <v>E1048</v>
      </c>
      <c r="D27" t="str">
        <v>Divya S</v>
      </c>
      <c r="E27" t="str">
        <v>Male</v>
      </c>
      <c r="F27" t="str">
        <v>HR</v>
      </c>
      <c r="G27" t="str">
        <v>Analyst</v>
      </c>
      <c r="H27" t="str">
        <v>Chennai</v>
      </c>
      <c r="I27">
        <v>43734</v>
      </c>
      <c r="J27">
        <v>36569</v>
      </c>
      <c r="K27">
        <v>82248</v>
      </c>
      <c r="L27">
        <v>10329</v>
      </c>
      <c r="M27">
        <v>12708</v>
      </c>
      <c r="N27">
        <v>105285</v>
      </c>
      <c r="O27">
        <v>1263420</v>
      </c>
      <c r="P27">
        <v>0.15450831631164283</v>
      </c>
      <c r="Q27">
        <v>2</v>
      </c>
      <c r="R27">
        <v>93</v>
      </c>
      <c r="S27">
        <v>1</v>
      </c>
      <c r="T27">
        <v>12</v>
      </c>
      <c r="U27">
        <v>9</v>
      </c>
      <c r="V27">
        <v>82</v>
      </c>
      <c r="W27">
        <v>0</v>
      </c>
      <c r="X27" t="str">
        <v>No</v>
      </c>
      <c r="Y27" t="str">
        <v>No</v>
      </c>
      <c r="Z27" t="str">
        <v>Divya R</v>
      </c>
      <c r="AC27" t="str">
        <v>E1048</v>
      </c>
      <c r="AD27" t="str">
        <v>Divya S</v>
      </c>
      <c r="AE27" t="str">
        <v>Male</v>
      </c>
      <c r="AF27" t="str">
        <v>HR</v>
      </c>
      <c r="AG27" t="str">
        <v>Analyst</v>
      </c>
      <c r="AH27" t="str">
        <v>Chennai</v>
      </c>
      <c r="AI27">
        <v>43734</v>
      </c>
      <c r="AJ27">
        <v>36569</v>
      </c>
      <c r="AK27">
        <v>82248</v>
      </c>
      <c r="AL27">
        <v>10329</v>
      </c>
      <c r="AM27">
        <v>12708</v>
      </c>
      <c r="AN27">
        <v>105285</v>
      </c>
      <c r="AO27">
        <v>1263420</v>
      </c>
      <c r="AP27">
        <v>0.15450831631164283</v>
      </c>
      <c r="AQ27">
        <v>2</v>
      </c>
      <c r="AR27">
        <v>93</v>
      </c>
      <c r="AS27">
        <v>1</v>
      </c>
      <c r="AT27">
        <v>12</v>
      </c>
      <c r="AU27">
        <v>9</v>
      </c>
      <c r="AV27">
        <v>82</v>
      </c>
      <c r="AW27">
        <v>0</v>
      </c>
      <c r="AX27" t="str">
        <v>No</v>
      </c>
      <c r="AY27" t="str">
        <v>No</v>
      </c>
      <c r="AZ27" t="str">
        <v>Divya R</v>
      </c>
    </row>
    <row r="28" spans="3:52" x14ac:dyDescent="0.35">
      <c r="C28" s="5" t="str">
        <v>E1051</v>
      </c>
      <c r="D28" t="str">
        <v>Meena R</v>
      </c>
      <c r="E28" t="str">
        <v>Male</v>
      </c>
      <c r="F28" t="str">
        <v>Sales</v>
      </c>
      <c r="G28" t="str">
        <v>Team Lead</v>
      </c>
      <c r="H28" t="str">
        <v>Madurai</v>
      </c>
      <c r="I28">
        <v>43954</v>
      </c>
      <c r="J28">
        <v>36543</v>
      </c>
      <c r="K28">
        <v>85718</v>
      </c>
      <c r="L28">
        <v>16229</v>
      </c>
      <c r="M28">
        <v>5418</v>
      </c>
      <c r="N28">
        <v>107365</v>
      </c>
      <c r="O28">
        <v>1288380</v>
      </c>
      <c r="P28">
        <v>6.320726101868919E-2</v>
      </c>
      <c r="Q28">
        <v>14</v>
      </c>
      <c r="R28">
        <v>89</v>
      </c>
      <c r="S28">
        <v>1</v>
      </c>
      <c r="T28">
        <v>50</v>
      </c>
      <c r="U28">
        <v>14</v>
      </c>
      <c r="V28">
        <v>56</v>
      </c>
      <c r="W28">
        <v>0</v>
      </c>
      <c r="X28" t="str">
        <v>No</v>
      </c>
      <c r="Y28" t="str">
        <v>No</v>
      </c>
      <c r="Z28" t="str">
        <v>Manoj P</v>
      </c>
      <c r="AC28" t="str">
        <v>E1051</v>
      </c>
      <c r="AD28" t="str">
        <v>Meena R</v>
      </c>
      <c r="AE28" t="str">
        <v>Male</v>
      </c>
      <c r="AF28" t="str">
        <v>Sales</v>
      </c>
      <c r="AG28" t="str">
        <v>Team Lead</v>
      </c>
      <c r="AH28" t="str">
        <v>Madurai</v>
      </c>
      <c r="AI28">
        <v>43954</v>
      </c>
      <c r="AJ28">
        <v>36543</v>
      </c>
      <c r="AK28">
        <v>85718</v>
      </c>
      <c r="AL28">
        <v>16229</v>
      </c>
      <c r="AM28">
        <v>5418</v>
      </c>
      <c r="AN28">
        <v>107365</v>
      </c>
      <c r="AO28">
        <v>1288380</v>
      </c>
      <c r="AP28">
        <v>6.320726101868919E-2</v>
      </c>
      <c r="AQ28">
        <v>14</v>
      </c>
      <c r="AR28">
        <v>89</v>
      </c>
      <c r="AS28">
        <v>1</v>
      </c>
      <c r="AT28">
        <v>50</v>
      </c>
      <c r="AU28">
        <v>14</v>
      </c>
      <c r="AV28">
        <v>56</v>
      </c>
      <c r="AW28">
        <v>0</v>
      </c>
      <c r="AX28" t="str">
        <v>No</v>
      </c>
      <c r="AY28" t="str">
        <v>No</v>
      </c>
      <c r="AZ28" t="str">
        <v>Manoj P</v>
      </c>
    </row>
    <row r="29" spans="3:52" x14ac:dyDescent="0.35">
      <c r="C29" s="5" t="str">
        <v>E1052</v>
      </c>
      <c r="D29" t="str">
        <v>Kumar P</v>
      </c>
      <c r="E29" t="str">
        <v>Male</v>
      </c>
      <c r="F29" t="str">
        <v>HR</v>
      </c>
      <c r="G29" t="str">
        <v>Analyst</v>
      </c>
      <c r="H29" t="str">
        <v>Coimbatore</v>
      </c>
      <c r="I29">
        <v>44856</v>
      </c>
      <c r="J29">
        <v>36040</v>
      </c>
      <c r="K29">
        <v>91746</v>
      </c>
      <c r="L29">
        <v>10276</v>
      </c>
      <c r="M29">
        <v>12093</v>
      </c>
      <c r="N29">
        <v>114115</v>
      </c>
      <c r="O29">
        <v>1369380</v>
      </c>
      <c r="P29">
        <v>0.13180956117977896</v>
      </c>
      <c r="Q29">
        <v>20</v>
      </c>
      <c r="R29">
        <v>88</v>
      </c>
      <c r="S29">
        <v>5</v>
      </c>
      <c r="T29">
        <v>30</v>
      </c>
      <c r="U29">
        <v>24</v>
      </c>
      <c r="V29">
        <v>68</v>
      </c>
      <c r="W29">
        <v>0</v>
      </c>
      <c r="X29" t="str">
        <v>No</v>
      </c>
      <c r="Y29" t="str">
        <v>No</v>
      </c>
      <c r="Z29" t="str">
        <v>Karthik V</v>
      </c>
      <c r="AC29" t="str">
        <v>E1052</v>
      </c>
      <c r="AD29" t="str">
        <v>Kumar P</v>
      </c>
      <c r="AE29" t="str">
        <v>Male</v>
      </c>
      <c r="AF29" t="str">
        <v>HR</v>
      </c>
      <c r="AG29" t="str">
        <v>Analyst</v>
      </c>
      <c r="AH29" t="str">
        <v>Coimbatore</v>
      </c>
      <c r="AI29">
        <v>44856</v>
      </c>
      <c r="AJ29">
        <v>36040</v>
      </c>
      <c r="AK29">
        <v>91746</v>
      </c>
      <c r="AL29">
        <v>10276</v>
      </c>
      <c r="AM29">
        <v>12093</v>
      </c>
      <c r="AN29">
        <v>114115</v>
      </c>
      <c r="AO29">
        <v>1369380</v>
      </c>
      <c r="AP29">
        <v>0.13180956117977896</v>
      </c>
      <c r="AQ29">
        <v>20</v>
      </c>
      <c r="AR29">
        <v>88</v>
      </c>
      <c r="AS29">
        <v>5</v>
      </c>
      <c r="AT29">
        <v>30</v>
      </c>
      <c r="AU29">
        <v>24</v>
      </c>
      <c r="AV29">
        <v>68</v>
      </c>
      <c r="AW29">
        <v>0</v>
      </c>
      <c r="AX29" t="str">
        <v>No</v>
      </c>
      <c r="AY29" t="str">
        <v>No</v>
      </c>
      <c r="AZ29" t="str">
        <v>Karthik V</v>
      </c>
    </row>
    <row r="30" spans="3:52" x14ac:dyDescent="0.35">
      <c r="C30" s="5" t="str">
        <v>E1054</v>
      </c>
      <c r="D30" t="str">
        <v>Rahul R</v>
      </c>
      <c r="E30" t="str">
        <v>Female</v>
      </c>
      <c r="F30" t="str">
        <v>Finance</v>
      </c>
      <c r="G30" t="str">
        <v>Manager</v>
      </c>
      <c r="H30" t="str">
        <v>Coimbatore</v>
      </c>
      <c r="I30">
        <v>44516</v>
      </c>
      <c r="J30">
        <v>32435</v>
      </c>
      <c r="K30">
        <v>63889</v>
      </c>
      <c r="L30">
        <v>6133</v>
      </c>
      <c r="M30">
        <v>10635</v>
      </c>
      <c r="N30">
        <v>80657</v>
      </c>
      <c r="O30">
        <v>967884</v>
      </c>
      <c r="P30">
        <v>0.16646058006855641</v>
      </c>
      <c r="Q30">
        <v>20</v>
      </c>
      <c r="R30">
        <v>81</v>
      </c>
      <c r="S30">
        <v>3</v>
      </c>
      <c r="T30">
        <v>24</v>
      </c>
      <c r="U30">
        <v>19</v>
      </c>
      <c r="V30">
        <v>78</v>
      </c>
      <c r="W30">
        <v>0</v>
      </c>
      <c r="X30" t="str">
        <v>Yes</v>
      </c>
      <c r="Y30" t="str">
        <v>No</v>
      </c>
      <c r="Z30" t="str">
        <v>Lakshmi S</v>
      </c>
      <c r="AC30" t="str">
        <v>E1054</v>
      </c>
      <c r="AD30" t="str">
        <v>Rahul R</v>
      </c>
      <c r="AE30" t="str">
        <v>Female</v>
      </c>
      <c r="AF30" t="str">
        <v>Finance</v>
      </c>
      <c r="AG30" t="str">
        <v>Manager</v>
      </c>
      <c r="AH30" t="str">
        <v>Coimbatore</v>
      </c>
      <c r="AI30">
        <v>44516</v>
      </c>
      <c r="AJ30">
        <v>32435</v>
      </c>
      <c r="AK30">
        <v>63889</v>
      </c>
      <c r="AL30">
        <v>6133</v>
      </c>
      <c r="AM30">
        <v>10635</v>
      </c>
      <c r="AN30">
        <v>80657</v>
      </c>
      <c r="AO30">
        <v>967884</v>
      </c>
      <c r="AP30">
        <v>0.16646058006855641</v>
      </c>
      <c r="AQ30">
        <v>20</v>
      </c>
      <c r="AR30">
        <v>81</v>
      </c>
      <c r="AS30">
        <v>3</v>
      </c>
      <c r="AT30">
        <v>24</v>
      </c>
      <c r="AU30">
        <v>19</v>
      </c>
      <c r="AV30">
        <v>78</v>
      </c>
      <c r="AW30">
        <v>0</v>
      </c>
      <c r="AX30" t="str">
        <v>Yes</v>
      </c>
      <c r="AY30" t="str">
        <v>No</v>
      </c>
      <c r="AZ30" t="str">
        <v>Lakshmi S</v>
      </c>
    </row>
    <row r="31" spans="3:52" x14ac:dyDescent="0.35">
      <c r="C31" s="5" t="str">
        <v>E1055</v>
      </c>
      <c r="D31" t="str">
        <v>Sneha S</v>
      </c>
      <c r="E31" t="str">
        <v>Male</v>
      </c>
      <c r="F31" t="str">
        <v>Finance</v>
      </c>
      <c r="G31" t="str">
        <v>Analyst</v>
      </c>
      <c r="H31" t="str">
        <v>Chennai</v>
      </c>
      <c r="I31">
        <v>43001</v>
      </c>
      <c r="J31">
        <v>29897</v>
      </c>
      <c r="K31">
        <v>70538</v>
      </c>
      <c r="L31">
        <v>6531</v>
      </c>
      <c r="M31">
        <v>2369</v>
      </c>
      <c r="N31">
        <v>79438</v>
      </c>
      <c r="O31">
        <v>953256</v>
      </c>
      <c r="P31">
        <v>3.3584734469364032E-2</v>
      </c>
      <c r="Q31">
        <v>6</v>
      </c>
      <c r="R31">
        <v>94</v>
      </c>
      <c r="S31">
        <v>4</v>
      </c>
      <c r="T31">
        <v>22</v>
      </c>
      <c r="U31">
        <v>3</v>
      </c>
      <c r="V31">
        <v>85</v>
      </c>
      <c r="W31">
        <v>0</v>
      </c>
      <c r="X31" t="str">
        <v>No</v>
      </c>
      <c r="Y31" t="str">
        <v>No</v>
      </c>
      <c r="Z31" t="str">
        <v>Ravi Kumar</v>
      </c>
      <c r="AC31" t="str">
        <v>E1055</v>
      </c>
      <c r="AD31" t="str">
        <v>Sneha S</v>
      </c>
      <c r="AE31" t="str">
        <v>Male</v>
      </c>
      <c r="AF31" t="str">
        <v>Finance</v>
      </c>
      <c r="AG31" t="str">
        <v>Analyst</v>
      </c>
      <c r="AH31" t="str">
        <v>Chennai</v>
      </c>
      <c r="AI31">
        <v>43001</v>
      </c>
      <c r="AJ31">
        <v>29897</v>
      </c>
      <c r="AK31">
        <v>70538</v>
      </c>
      <c r="AL31">
        <v>6531</v>
      </c>
      <c r="AM31">
        <v>2369</v>
      </c>
      <c r="AN31">
        <v>79438</v>
      </c>
      <c r="AO31">
        <v>953256</v>
      </c>
      <c r="AP31">
        <v>3.3584734469364032E-2</v>
      </c>
      <c r="AQ31">
        <v>6</v>
      </c>
      <c r="AR31">
        <v>94</v>
      </c>
      <c r="AS31">
        <v>4</v>
      </c>
      <c r="AT31">
        <v>22</v>
      </c>
      <c r="AU31">
        <v>3</v>
      </c>
      <c r="AV31">
        <v>85</v>
      </c>
      <c r="AW31">
        <v>0</v>
      </c>
      <c r="AX31" t="str">
        <v>No</v>
      </c>
      <c r="AY31" t="str">
        <v>No</v>
      </c>
      <c r="AZ31" t="str">
        <v>Ravi Kumar</v>
      </c>
    </row>
    <row r="32" spans="3:52" x14ac:dyDescent="0.35">
      <c r="C32" s="5" t="str">
        <v>E1057</v>
      </c>
      <c r="D32" t="str">
        <v>Asha M</v>
      </c>
      <c r="E32" t="str">
        <v>Female</v>
      </c>
      <c r="F32" t="str">
        <v>Sales</v>
      </c>
      <c r="G32" t="str">
        <v>Team Lead</v>
      </c>
      <c r="H32" t="str">
        <v>Mumbai</v>
      </c>
      <c r="I32">
        <v>44466</v>
      </c>
      <c r="J32">
        <v>31837</v>
      </c>
      <c r="K32">
        <v>99645</v>
      </c>
      <c r="L32">
        <v>5354</v>
      </c>
      <c r="M32">
        <v>4152</v>
      </c>
      <c r="N32">
        <v>109151</v>
      </c>
      <c r="O32">
        <v>1309812</v>
      </c>
      <c r="P32">
        <v>4.1667921119975915E-2</v>
      </c>
      <c r="Q32">
        <v>8</v>
      </c>
      <c r="R32">
        <v>89</v>
      </c>
      <c r="S32">
        <v>4</v>
      </c>
      <c r="T32">
        <v>64</v>
      </c>
      <c r="U32">
        <v>4</v>
      </c>
      <c r="V32">
        <v>93</v>
      </c>
      <c r="W32">
        <v>0</v>
      </c>
      <c r="X32" t="str">
        <v>No</v>
      </c>
      <c r="Y32" t="str">
        <v>No</v>
      </c>
      <c r="Z32" t="str">
        <v>Priya M</v>
      </c>
      <c r="AC32" t="str">
        <v>E1057</v>
      </c>
      <c r="AD32" t="str">
        <v>Asha M</v>
      </c>
      <c r="AE32" t="str">
        <v>Female</v>
      </c>
      <c r="AF32" t="str">
        <v>Sales</v>
      </c>
      <c r="AG32" t="str">
        <v>Team Lead</v>
      </c>
      <c r="AH32" t="str">
        <v>Mumbai</v>
      </c>
      <c r="AI32">
        <v>44466</v>
      </c>
      <c r="AJ32">
        <v>31837</v>
      </c>
      <c r="AK32">
        <v>99645</v>
      </c>
      <c r="AL32">
        <v>5354</v>
      </c>
      <c r="AM32">
        <v>4152</v>
      </c>
      <c r="AN32">
        <v>109151</v>
      </c>
      <c r="AO32">
        <v>1309812</v>
      </c>
      <c r="AP32">
        <v>4.1667921119975915E-2</v>
      </c>
      <c r="AQ32">
        <v>8</v>
      </c>
      <c r="AR32">
        <v>89</v>
      </c>
      <c r="AS32">
        <v>4</v>
      </c>
      <c r="AT32">
        <v>64</v>
      </c>
      <c r="AU32">
        <v>4</v>
      </c>
      <c r="AV32">
        <v>93</v>
      </c>
      <c r="AW32">
        <v>0</v>
      </c>
      <c r="AX32" t="str">
        <v>No</v>
      </c>
      <c r="AY32" t="str">
        <v>No</v>
      </c>
      <c r="AZ32" t="str">
        <v>Priya M</v>
      </c>
    </row>
    <row r="33" spans="3:52" x14ac:dyDescent="0.35">
      <c r="C33" s="5" t="str">
        <v>E1058</v>
      </c>
      <c r="D33" t="str">
        <v>Vijay R</v>
      </c>
      <c r="E33" t="str">
        <v>Male</v>
      </c>
      <c r="F33" t="str">
        <v>HR</v>
      </c>
      <c r="G33" t="str">
        <v>Team Lead</v>
      </c>
      <c r="H33" t="str">
        <v>Mumbai</v>
      </c>
      <c r="I33">
        <v>42491</v>
      </c>
      <c r="J33">
        <v>30768</v>
      </c>
      <c r="K33">
        <v>64668</v>
      </c>
      <c r="L33">
        <v>13291</v>
      </c>
      <c r="M33">
        <v>3903</v>
      </c>
      <c r="N33">
        <v>81862</v>
      </c>
      <c r="O33">
        <v>982344</v>
      </c>
      <c r="P33">
        <v>6.0354425681944705E-2</v>
      </c>
      <c r="Q33">
        <v>1</v>
      </c>
      <c r="R33">
        <v>95</v>
      </c>
      <c r="S33">
        <v>4</v>
      </c>
      <c r="T33">
        <v>29</v>
      </c>
      <c r="U33">
        <v>17</v>
      </c>
      <c r="V33">
        <v>90</v>
      </c>
      <c r="W33">
        <v>0</v>
      </c>
      <c r="X33" t="str">
        <v>No</v>
      </c>
      <c r="Y33" t="str">
        <v>Yes</v>
      </c>
      <c r="Z33" t="str">
        <v>Karthik V</v>
      </c>
      <c r="AC33" t="str">
        <v>E1058</v>
      </c>
      <c r="AD33" t="str">
        <v>Vijay R</v>
      </c>
      <c r="AE33" t="str">
        <v>Male</v>
      </c>
      <c r="AF33" t="str">
        <v>HR</v>
      </c>
      <c r="AG33" t="str">
        <v>Team Lead</v>
      </c>
      <c r="AH33" t="str">
        <v>Mumbai</v>
      </c>
      <c r="AI33">
        <v>42491</v>
      </c>
      <c r="AJ33">
        <v>30768</v>
      </c>
      <c r="AK33">
        <v>64668</v>
      </c>
      <c r="AL33">
        <v>13291</v>
      </c>
      <c r="AM33">
        <v>3903</v>
      </c>
      <c r="AN33">
        <v>81862</v>
      </c>
      <c r="AO33">
        <v>982344</v>
      </c>
      <c r="AP33">
        <v>6.0354425681944705E-2</v>
      </c>
      <c r="AQ33">
        <v>1</v>
      </c>
      <c r="AR33">
        <v>95</v>
      </c>
      <c r="AS33">
        <v>4</v>
      </c>
      <c r="AT33">
        <v>29</v>
      </c>
      <c r="AU33">
        <v>17</v>
      </c>
      <c r="AV33">
        <v>90</v>
      </c>
      <c r="AW33">
        <v>0</v>
      </c>
      <c r="AX33" t="str">
        <v>No</v>
      </c>
      <c r="AY33" t="str">
        <v>Yes</v>
      </c>
      <c r="AZ33" t="str">
        <v>Karthik V</v>
      </c>
    </row>
    <row r="34" spans="3:52" x14ac:dyDescent="0.35">
      <c r="C34" s="5" t="str">
        <v>E1060</v>
      </c>
      <c r="D34" t="str">
        <v>Karthik R</v>
      </c>
      <c r="E34" t="str">
        <v>Female</v>
      </c>
      <c r="F34" t="str">
        <v>Finance</v>
      </c>
      <c r="G34" t="str">
        <v>Manager</v>
      </c>
      <c r="H34" t="str">
        <v>Chennai</v>
      </c>
      <c r="I34">
        <v>43791</v>
      </c>
      <c r="J34">
        <v>38142</v>
      </c>
      <c r="K34">
        <v>65648</v>
      </c>
      <c r="L34">
        <v>4570</v>
      </c>
      <c r="M34">
        <v>13462</v>
      </c>
      <c r="N34">
        <v>83680</v>
      </c>
      <c r="O34">
        <v>1004160</v>
      </c>
      <c r="P34">
        <v>0.20506336826712163</v>
      </c>
      <c r="Q34">
        <v>15</v>
      </c>
      <c r="R34">
        <v>100</v>
      </c>
      <c r="S34">
        <v>1</v>
      </c>
      <c r="T34">
        <v>18</v>
      </c>
      <c r="U34">
        <v>8</v>
      </c>
      <c r="V34">
        <v>71</v>
      </c>
      <c r="W34">
        <v>0</v>
      </c>
      <c r="X34" t="str">
        <v>No</v>
      </c>
      <c r="Y34" t="str">
        <v>No</v>
      </c>
      <c r="Z34" t="str">
        <v>Divya R</v>
      </c>
      <c r="AC34" t="str">
        <v>E1060</v>
      </c>
      <c r="AD34" t="str">
        <v>Karthik R</v>
      </c>
      <c r="AE34" t="str">
        <v>Female</v>
      </c>
      <c r="AF34" t="str">
        <v>Finance</v>
      </c>
      <c r="AG34" t="str">
        <v>Manager</v>
      </c>
      <c r="AH34" t="str">
        <v>Chennai</v>
      </c>
      <c r="AI34">
        <v>43791</v>
      </c>
      <c r="AJ34">
        <v>38142</v>
      </c>
      <c r="AK34">
        <v>65648</v>
      </c>
      <c r="AL34">
        <v>4570</v>
      </c>
      <c r="AM34">
        <v>13462</v>
      </c>
      <c r="AN34">
        <v>83680</v>
      </c>
      <c r="AO34">
        <v>1004160</v>
      </c>
      <c r="AP34">
        <v>0.20506336826712163</v>
      </c>
      <c r="AQ34">
        <v>15</v>
      </c>
      <c r="AR34">
        <v>100</v>
      </c>
      <c r="AS34">
        <v>1</v>
      </c>
      <c r="AT34">
        <v>18</v>
      </c>
      <c r="AU34">
        <v>8</v>
      </c>
      <c r="AV34">
        <v>71</v>
      </c>
      <c r="AW34">
        <v>0</v>
      </c>
      <c r="AX34" t="str">
        <v>No</v>
      </c>
      <c r="AY34" t="str">
        <v>No</v>
      </c>
      <c r="AZ34" t="str">
        <v>Divya R</v>
      </c>
    </row>
    <row r="35" spans="3:52" x14ac:dyDescent="0.35">
      <c r="C35" s="5" t="str">
        <v>E1063</v>
      </c>
      <c r="D35" t="str">
        <v>Pooja S</v>
      </c>
      <c r="E35" t="str">
        <v>Female</v>
      </c>
      <c r="F35" t="str">
        <v>HR</v>
      </c>
      <c r="G35" t="str">
        <v>Executive</v>
      </c>
      <c r="H35" t="str">
        <v>Hyderabad</v>
      </c>
      <c r="I35">
        <v>43505</v>
      </c>
      <c r="J35">
        <v>35700</v>
      </c>
      <c r="K35">
        <v>95068</v>
      </c>
      <c r="L35">
        <v>14509</v>
      </c>
      <c r="M35">
        <v>8091</v>
      </c>
      <c r="N35">
        <v>117668</v>
      </c>
      <c r="O35">
        <v>1412016</v>
      </c>
      <c r="P35">
        <v>8.5107501998569451E-2</v>
      </c>
      <c r="Q35">
        <v>1</v>
      </c>
      <c r="R35">
        <v>87</v>
      </c>
      <c r="S35">
        <v>4</v>
      </c>
      <c r="T35">
        <v>28</v>
      </c>
      <c r="U35">
        <v>21</v>
      </c>
      <c r="V35">
        <v>88</v>
      </c>
      <c r="W35">
        <v>0</v>
      </c>
      <c r="X35" t="str">
        <v>No</v>
      </c>
      <c r="Y35" t="str">
        <v>No</v>
      </c>
      <c r="Z35" t="str">
        <v>Lakshmi S</v>
      </c>
      <c r="AC35" t="str">
        <v>E1063</v>
      </c>
      <c r="AD35" t="str">
        <v>Pooja S</v>
      </c>
      <c r="AE35" t="str">
        <v>Female</v>
      </c>
      <c r="AF35" t="str">
        <v>HR</v>
      </c>
      <c r="AG35" t="str">
        <v>Executive</v>
      </c>
      <c r="AH35" t="str">
        <v>Hyderabad</v>
      </c>
      <c r="AI35">
        <v>43505</v>
      </c>
      <c r="AJ35">
        <v>35700</v>
      </c>
      <c r="AK35">
        <v>95068</v>
      </c>
      <c r="AL35">
        <v>14509</v>
      </c>
      <c r="AM35">
        <v>8091</v>
      </c>
      <c r="AN35">
        <v>117668</v>
      </c>
      <c r="AO35">
        <v>1412016</v>
      </c>
      <c r="AP35">
        <v>8.5107501998569451E-2</v>
      </c>
      <c r="AQ35">
        <v>1</v>
      </c>
      <c r="AR35">
        <v>87</v>
      </c>
      <c r="AS35">
        <v>4</v>
      </c>
      <c r="AT35">
        <v>28</v>
      </c>
      <c r="AU35">
        <v>21</v>
      </c>
      <c r="AV35">
        <v>88</v>
      </c>
      <c r="AW35">
        <v>0</v>
      </c>
      <c r="AX35" t="str">
        <v>No</v>
      </c>
      <c r="AY35" t="str">
        <v>No</v>
      </c>
      <c r="AZ35" t="str">
        <v>Lakshmi S</v>
      </c>
    </row>
    <row r="36" spans="3:52" x14ac:dyDescent="0.35">
      <c r="C36" s="5" t="str">
        <v>E1064</v>
      </c>
      <c r="D36" t="str">
        <v>Asha S</v>
      </c>
      <c r="E36" t="str">
        <v>Female</v>
      </c>
      <c r="F36" t="str">
        <v>Operations</v>
      </c>
      <c r="G36" t="str">
        <v>Manager</v>
      </c>
      <c r="H36" t="str">
        <v>Madurai</v>
      </c>
      <c r="I36">
        <v>44918</v>
      </c>
      <c r="J36">
        <v>29282</v>
      </c>
      <c r="K36">
        <v>86112</v>
      </c>
      <c r="L36">
        <v>8517</v>
      </c>
      <c r="M36">
        <v>8440</v>
      </c>
      <c r="N36">
        <v>103069</v>
      </c>
      <c r="O36">
        <v>1236828</v>
      </c>
      <c r="P36">
        <v>9.8011891490152353E-2</v>
      </c>
      <c r="Q36">
        <v>2</v>
      </c>
      <c r="R36">
        <v>87</v>
      </c>
      <c r="S36">
        <v>1</v>
      </c>
      <c r="T36">
        <v>33</v>
      </c>
      <c r="U36">
        <v>4</v>
      </c>
      <c r="V36">
        <v>67</v>
      </c>
      <c r="W36">
        <v>0</v>
      </c>
      <c r="X36" t="str">
        <v>No</v>
      </c>
      <c r="Y36" t="str">
        <v>No</v>
      </c>
      <c r="Z36" t="str">
        <v>Divya R</v>
      </c>
      <c r="AC36" t="str">
        <v>E1064</v>
      </c>
      <c r="AD36" t="str">
        <v>Asha S</v>
      </c>
      <c r="AE36" t="str">
        <v>Female</v>
      </c>
      <c r="AF36" t="str">
        <v>Operations</v>
      </c>
      <c r="AG36" t="str">
        <v>Manager</v>
      </c>
      <c r="AH36" t="str">
        <v>Madurai</v>
      </c>
      <c r="AI36">
        <v>44918</v>
      </c>
      <c r="AJ36">
        <v>29282</v>
      </c>
      <c r="AK36">
        <v>86112</v>
      </c>
      <c r="AL36">
        <v>8517</v>
      </c>
      <c r="AM36">
        <v>8440</v>
      </c>
      <c r="AN36">
        <v>103069</v>
      </c>
      <c r="AO36">
        <v>1236828</v>
      </c>
      <c r="AP36">
        <v>9.8011891490152353E-2</v>
      </c>
      <c r="AQ36">
        <v>2</v>
      </c>
      <c r="AR36">
        <v>87</v>
      </c>
      <c r="AS36">
        <v>1</v>
      </c>
      <c r="AT36">
        <v>33</v>
      </c>
      <c r="AU36">
        <v>4</v>
      </c>
      <c r="AV36">
        <v>67</v>
      </c>
      <c r="AW36">
        <v>0</v>
      </c>
      <c r="AX36" t="str">
        <v>No</v>
      </c>
      <c r="AY36" t="str">
        <v>No</v>
      </c>
      <c r="AZ36" t="str">
        <v>Divya R</v>
      </c>
    </row>
    <row r="37" spans="3:52" x14ac:dyDescent="0.35">
      <c r="C37" s="5" t="str">
        <v>E1065</v>
      </c>
      <c r="D37" t="str">
        <v>Sneha V</v>
      </c>
      <c r="E37" t="str">
        <v>Male</v>
      </c>
      <c r="F37" t="str">
        <v>HR</v>
      </c>
      <c r="G37" t="str">
        <v>Manager</v>
      </c>
      <c r="H37" t="str">
        <v>Coimbatore</v>
      </c>
      <c r="I37">
        <v>42713</v>
      </c>
      <c r="J37">
        <v>33751</v>
      </c>
      <c r="K37">
        <v>77600</v>
      </c>
      <c r="L37">
        <v>11963</v>
      </c>
      <c r="M37">
        <v>8772</v>
      </c>
      <c r="N37">
        <v>98335</v>
      </c>
      <c r="O37">
        <v>1180020</v>
      </c>
      <c r="P37">
        <v>0.11304123711340207</v>
      </c>
      <c r="Q37">
        <v>2</v>
      </c>
      <c r="R37">
        <v>92</v>
      </c>
      <c r="S37">
        <v>5</v>
      </c>
      <c r="T37">
        <v>53</v>
      </c>
      <c r="U37">
        <v>8</v>
      </c>
      <c r="V37">
        <v>100</v>
      </c>
      <c r="W37">
        <v>0</v>
      </c>
      <c r="X37" t="str">
        <v>No</v>
      </c>
      <c r="Y37" t="str">
        <v>No</v>
      </c>
      <c r="Z37" t="str">
        <v>Lakshmi S</v>
      </c>
      <c r="AC37" t="str">
        <v>E1065</v>
      </c>
      <c r="AD37" t="str">
        <v>Sneha V</v>
      </c>
      <c r="AE37" t="str">
        <v>Male</v>
      </c>
      <c r="AF37" t="str">
        <v>HR</v>
      </c>
      <c r="AG37" t="str">
        <v>Manager</v>
      </c>
      <c r="AH37" t="str">
        <v>Coimbatore</v>
      </c>
      <c r="AI37">
        <v>42713</v>
      </c>
      <c r="AJ37">
        <v>33751</v>
      </c>
      <c r="AK37">
        <v>77600</v>
      </c>
      <c r="AL37">
        <v>11963</v>
      </c>
      <c r="AM37">
        <v>8772</v>
      </c>
      <c r="AN37">
        <v>98335</v>
      </c>
      <c r="AO37">
        <v>1180020</v>
      </c>
      <c r="AP37">
        <v>0.11304123711340207</v>
      </c>
      <c r="AQ37">
        <v>2</v>
      </c>
      <c r="AR37">
        <v>92</v>
      </c>
      <c r="AS37">
        <v>5</v>
      </c>
      <c r="AT37">
        <v>53</v>
      </c>
      <c r="AU37">
        <v>8</v>
      </c>
      <c r="AV37">
        <v>100</v>
      </c>
      <c r="AW37">
        <v>0</v>
      </c>
      <c r="AX37" t="str">
        <v>No</v>
      </c>
      <c r="AY37" t="str">
        <v>No</v>
      </c>
      <c r="AZ37" t="str">
        <v>Lakshmi S</v>
      </c>
    </row>
    <row r="38" spans="3:52" x14ac:dyDescent="0.35">
      <c r="C38" s="5" t="str">
        <v>E1068</v>
      </c>
      <c r="D38" t="str">
        <v>Nisha S</v>
      </c>
      <c r="E38" t="str">
        <v>Male</v>
      </c>
      <c r="F38" t="str">
        <v>Finance</v>
      </c>
      <c r="G38" t="str">
        <v>Team Lead</v>
      </c>
      <c r="H38" t="str">
        <v>Mumbai</v>
      </c>
      <c r="I38">
        <v>44662</v>
      </c>
      <c r="J38">
        <v>32478</v>
      </c>
      <c r="K38">
        <v>92682</v>
      </c>
      <c r="L38">
        <v>13194</v>
      </c>
      <c r="M38">
        <v>4498</v>
      </c>
      <c r="N38">
        <v>110374</v>
      </c>
      <c r="O38">
        <v>1324488</v>
      </c>
      <c r="P38">
        <v>4.8531537946958414E-2</v>
      </c>
      <c r="Q38">
        <v>7</v>
      </c>
      <c r="R38">
        <v>81</v>
      </c>
      <c r="S38">
        <v>5</v>
      </c>
      <c r="T38">
        <v>24</v>
      </c>
      <c r="U38">
        <v>20</v>
      </c>
      <c r="V38">
        <v>69</v>
      </c>
      <c r="W38">
        <v>0</v>
      </c>
      <c r="X38" t="str">
        <v>No</v>
      </c>
      <c r="Y38" t="str">
        <v>No</v>
      </c>
      <c r="Z38" t="str">
        <v>Divya R</v>
      </c>
      <c r="AC38" t="str">
        <v>E1068</v>
      </c>
      <c r="AD38" t="str">
        <v>Nisha S</v>
      </c>
      <c r="AE38" t="str">
        <v>Male</v>
      </c>
      <c r="AF38" t="str">
        <v>Finance</v>
      </c>
      <c r="AG38" t="str">
        <v>Team Lead</v>
      </c>
      <c r="AH38" t="str">
        <v>Mumbai</v>
      </c>
      <c r="AI38">
        <v>44662</v>
      </c>
      <c r="AJ38">
        <v>32478</v>
      </c>
      <c r="AK38">
        <v>92682</v>
      </c>
      <c r="AL38">
        <v>13194</v>
      </c>
      <c r="AM38">
        <v>4498</v>
      </c>
      <c r="AN38">
        <v>110374</v>
      </c>
      <c r="AO38">
        <v>1324488</v>
      </c>
      <c r="AP38">
        <v>4.8531537946958414E-2</v>
      </c>
      <c r="AQ38">
        <v>7</v>
      </c>
      <c r="AR38">
        <v>81</v>
      </c>
      <c r="AS38">
        <v>5</v>
      </c>
      <c r="AT38">
        <v>24</v>
      </c>
      <c r="AU38">
        <v>20</v>
      </c>
      <c r="AV38">
        <v>69</v>
      </c>
      <c r="AW38">
        <v>0</v>
      </c>
      <c r="AX38" t="str">
        <v>No</v>
      </c>
      <c r="AY38" t="str">
        <v>No</v>
      </c>
      <c r="AZ38" t="str">
        <v>Divya R</v>
      </c>
    </row>
    <row r="39" spans="3:52" x14ac:dyDescent="0.35">
      <c r="C39" s="5" t="str">
        <v>E1069</v>
      </c>
      <c r="D39" t="str">
        <v>Meena R</v>
      </c>
      <c r="E39" t="str">
        <v>Female</v>
      </c>
      <c r="F39" t="str">
        <v>Finance</v>
      </c>
      <c r="G39" t="str">
        <v>Senior Analyst</v>
      </c>
      <c r="H39" t="str">
        <v>Coimbatore</v>
      </c>
      <c r="I39">
        <v>42630</v>
      </c>
      <c r="J39">
        <v>30482</v>
      </c>
      <c r="K39">
        <v>73774</v>
      </c>
      <c r="L39">
        <v>13385</v>
      </c>
      <c r="M39">
        <v>4811</v>
      </c>
      <c r="N39">
        <v>91970</v>
      </c>
      <c r="O39">
        <v>1103640</v>
      </c>
      <c r="P39">
        <v>6.5212676552715051E-2</v>
      </c>
      <c r="Q39">
        <v>12</v>
      </c>
      <c r="R39">
        <v>83</v>
      </c>
      <c r="S39">
        <v>5</v>
      </c>
      <c r="T39">
        <v>56</v>
      </c>
      <c r="U39">
        <v>1</v>
      </c>
      <c r="V39">
        <v>95</v>
      </c>
      <c r="W39">
        <v>0</v>
      </c>
      <c r="X39" t="str">
        <v>Yes</v>
      </c>
      <c r="Y39" t="str">
        <v>No</v>
      </c>
      <c r="Z39" t="str">
        <v>Manoj P</v>
      </c>
      <c r="AC39" t="str">
        <v>E1069</v>
      </c>
      <c r="AD39" t="str">
        <v>Meena R</v>
      </c>
      <c r="AE39" t="str">
        <v>Female</v>
      </c>
      <c r="AF39" t="str">
        <v>Finance</v>
      </c>
      <c r="AG39" t="str">
        <v>Senior Analyst</v>
      </c>
      <c r="AH39" t="str">
        <v>Coimbatore</v>
      </c>
      <c r="AI39">
        <v>42630</v>
      </c>
      <c r="AJ39">
        <v>30482</v>
      </c>
      <c r="AK39">
        <v>73774</v>
      </c>
      <c r="AL39">
        <v>13385</v>
      </c>
      <c r="AM39">
        <v>4811</v>
      </c>
      <c r="AN39">
        <v>91970</v>
      </c>
      <c r="AO39">
        <v>1103640</v>
      </c>
      <c r="AP39">
        <v>6.5212676552715051E-2</v>
      </c>
      <c r="AQ39">
        <v>12</v>
      </c>
      <c r="AR39">
        <v>83</v>
      </c>
      <c r="AS39">
        <v>5</v>
      </c>
      <c r="AT39">
        <v>56</v>
      </c>
      <c r="AU39">
        <v>1</v>
      </c>
      <c r="AV39">
        <v>95</v>
      </c>
      <c r="AW39">
        <v>0</v>
      </c>
      <c r="AX39" t="str">
        <v>Yes</v>
      </c>
      <c r="AY39" t="str">
        <v>No</v>
      </c>
      <c r="AZ39" t="str">
        <v>Manoj P</v>
      </c>
    </row>
    <row r="40" spans="3:52" x14ac:dyDescent="0.35">
      <c r="C40" s="5" t="str">
        <v>E1071</v>
      </c>
      <c r="D40" t="str">
        <v>Vignesh S</v>
      </c>
      <c r="E40" t="str">
        <v>Female</v>
      </c>
      <c r="F40" t="str">
        <v>Sales</v>
      </c>
      <c r="G40" t="str">
        <v>Manager</v>
      </c>
      <c r="H40" t="str">
        <v>Mumbai</v>
      </c>
      <c r="I40">
        <v>45142</v>
      </c>
      <c r="J40">
        <v>33389</v>
      </c>
      <c r="K40">
        <v>88643</v>
      </c>
      <c r="L40">
        <v>9047</v>
      </c>
      <c r="M40">
        <v>9345</v>
      </c>
      <c r="N40">
        <v>107035</v>
      </c>
      <c r="O40">
        <v>1284420</v>
      </c>
      <c r="P40">
        <v>0.10542287603082026</v>
      </c>
      <c r="Q40">
        <v>19</v>
      </c>
      <c r="R40">
        <v>91</v>
      </c>
      <c r="S40">
        <v>2</v>
      </c>
      <c r="T40">
        <v>58</v>
      </c>
      <c r="U40">
        <v>15</v>
      </c>
      <c r="V40">
        <v>83</v>
      </c>
      <c r="W40">
        <v>0</v>
      </c>
      <c r="X40" t="str">
        <v>Yes</v>
      </c>
      <c r="Y40" t="str">
        <v>No</v>
      </c>
      <c r="Z40" t="str">
        <v>Priya M</v>
      </c>
      <c r="AC40" t="str">
        <v>E1071</v>
      </c>
      <c r="AD40" t="str">
        <v>Vignesh S</v>
      </c>
      <c r="AE40" t="str">
        <v>Female</v>
      </c>
      <c r="AF40" t="str">
        <v>Sales</v>
      </c>
      <c r="AG40" t="str">
        <v>Manager</v>
      </c>
      <c r="AH40" t="str">
        <v>Mumbai</v>
      </c>
      <c r="AI40">
        <v>45142</v>
      </c>
      <c r="AJ40">
        <v>33389</v>
      </c>
      <c r="AK40">
        <v>88643</v>
      </c>
      <c r="AL40">
        <v>9047</v>
      </c>
      <c r="AM40">
        <v>9345</v>
      </c>
      <c r="AN40">
        <v>107035</v>
      </c>
      <c r="AO40">
        <v>1284420</v>
      </c>
      <c r="AP40">
        <v>0.10542287603082026</v>
      </c>
      <c r="AQ40">
        <v>19</v>
      </c>
      <c r="AR40">
        <v>91</v>
      </c>
      <c r="AS40">
        <v>2</v>
      </c>
      <c r="AT40">
        <v>58</v>
      </c>
      <c r="AU40">
        <v>15</v>
      </c>
      <c r="AV40">
        <v>83</v>
      </c>
      <c r="AW40">
        <v>0</v>
      </c>
      <c r="AX40" t="str">
        <v>Yes</v>
      </c>
      <c r="AY40" t="str">
        <v>No</v>
      </c>
      <c r="AZ40" t="str">
        <v>Priya M</v>
      </c>
    </row>
    <row r="41" spans="3:52" x14ac:dyDescent="0.35">
      <c r="C41" s="5" t="str">
        <v>E1072</v>
      </c>
      <c r="D41" t="str">
        <v>Rahul R</v>
      </c>
      <c r="E41" t="str">
        <v>Female</v>
      </c>
      <c r="F41" t="str">
        <v>Operations</v>
      </c>
      <c r="G41" t="str">
        <v>Analyst</v>
      </c>
      <c r="H41" t="str">
        <v>Mumbai</v>
      </c>
      <c r="I41">
        <v>43482</v>
      </c>
      <c r="J41">
        <v>35666</v>
      </c>
      <c r="K41">
        <v>89620</v>
      </c>
      <c r="L41">
        <v>13552</v>
      </c>
      <c r="M41">
        <v>4456</v>
      </c>
      <c r="N41">
        <v>107628</v>
      </c>
      <c r="O41">
        <v>1291536</v>
      </c>
      <c r="P41">
        <v>4.9721044409729971E-2</v>
      </c>
      <c r="Q41">
        <v>7</v>
      </c>
      <c r="R41">
        <v>90</v>
      </c>
      <c r="S41">
        <v>1</v>
      </c>
      <c r="T41">
        <v>26</v>
      </c>
      <c r="U41">
        <v>20</v>
      </c>
      <c r="V41">
        <v>64</v>
      </c>
      <c r="W41">
        <v>0</v>
      </c>
      <c r="X41" t="str">
        <v>No</v>
      </c>
      <c r="Y41" t="str">
        <v>No</v>
      </c>
      <c r="Z41" t="str">
        <v>Karthik V</v>
      </c>
      <c r="AC41" t="str">
        <v>E1072</v>
      </c>
      <c r="AD41" t="str">
        <v>Rahul R</v>
      </c>
      <c r="AE41" t="str">
        <v>Female</v>
      </c>
      <c r="AF41" t="str">
        <v>Operations</v>
      </c>
      <c r="AG41" t="str">
        <v>Analyst</v>
      </c>
      <c r="AH41" t="str">
        <v>Mumbai</v>
      </c>
      <c r="AI41">
        <v>43482</v>
      </c>
      <c r="AJ41">
        <v>35666</v>
      </c>
      <c r="AK41">
        <v>89620</v>
      </c>
      <c r="AL41">
        <v>13552</v>
      </c>
      <c r="AM41">
        <v>4456</v>
      </c>
      <c r="AN41">
        <v>107628</v>
      </c>
      <c r="AO41">
        <v>1291536</v>
      </c>
      <c r="AP41">
        <v>4.9721044409729971E-2</v>
      </c>
      <c r="AQ41">
        <v>7</v>
      </c>
      <c r="AR41">
        <v>90</v>
      </c>
      <c r="AS41">
        <v>1</v>
      </c>
      <c r="AT41">
        <v>26</v>
      </c>
      <c r="AU41">
        <v>20</v>
      </c>
      <c r="AV41">
        <v>64</v>
      </c>
      <c r="AW41">
        <v>0</v>
      </c>
      <c r="AX41" t="str">
        <v>No</v>
      </c>
      <c r="AY41" t="str">
        <v>No</v>
      </c>
      <c r="AZ41" t="str">
        <v>Karthik V</v>
      </c>
    </row>
    <row r="42" spans="3:52" x14ac:dyDescent="0.35">
      <c r="C42" s="5" t="str">
        <v>E1073</v>
      </c>
      <c r="D42" t="str">
        <v>Rahul S</v>
      </c>
      <c r="E42" t="str">
        <v>Male</v>
      </c>
      <c r="F42" t="str">
        <v>Sales</v>
      </c>
      <c r="G42" t="str">
        <v>Senior Analyst</v>
      </c>
      <c r="H42" t="str">
        <v>Hyderabad</v>
      </c>
      <c r="I42">
        <v>44109</v>
      </c>
      <c r="J42">
        <v>35487</v>
      </c>
      <c r="K42">
        <v>74614</v>
      </c>
      <c r="L42">
        <v>15266</v>
      </c>
      <c r="M42">
        <v>4119</v>
      </c>
      <c r="N42">
        <v>93999</v>
      </c>
      <c r="O42">
        <v>1127988</v>
      </c>
      <c r="P42">
        <v>5.5204117189803524E-2</v>
      </c>
      <c r="Q42">
        <v>1</v>
      </c>
      <c r="R42">
        <v>82</v>
      </c>
      <c r="S42">
        <v>5</v>
      </c>
      <c r="T42">
        <v>77</v>
      </c>
      <c r="U42">
        <v>7</v>
      </c>
      <c r="V42">
        <v>92</v>
      </c>
      <c r="W42">
        <v>0</v>
      </c>
      <c r="X42" t="str">
        <v>No</v>
      </c>
      <c r="Y42" t="str">
        <v>No</v>
      </c>
      <c r="Z42" t="str">
        <v>Lakshmi S</v>
      </c>
      <c r="AC42" t="str">
        <v>E1073</v>
      </c>
      <c r="AD42" t="str">
        <v>Rahul S</v>
      </c>
      <c r="AE42" t="str">
        <v>Male</v>
      </c>
      <c r="AF42" t="str">
        <v>Sales</v>
      </c>
      <c r="AG42" t="str">
        <v>Senior Analyst</v>
      </c>
      <c r="AH42" t="str">
        <v>Hyderabad</v>
      </c>
      <c r="AI42">
        <v>44109</v>
      </c>
      <c r="AJ42">
        <v>35487</v>
      </c>
      <c r="AK42">
        <v>74614</v>
      </c>
      <c r="AL42">
        <v>15266</v>
      </c>
      <c r="AM42">
        <v>4119</v>
      </c>
      <c r="AN42">
        <v>93999</v>
      </c>
      <c r="AO42">
        <v>1127988</v>
      </c>
      <c r="AP42">
        <v>5.5204117189803524E-2</v>
      </c>
      <c r="AQ42">
        <v>1</v>
      </c>
      <c r="AR42">
        <v>82</v>
      </c>
      <c r="AS42">
        <v>5</v>
      </c>
      <c r="AT42">
        <v>77</v>
      </c>
      <c r="AU42">
        <v>7</v>
      </c>
      <c r="AV42">
        <v>92</v>
      </c>
      <c r="AW42">
        <v>0</v>
      </c>
      <c r="AX42" t="str">
        <v>No</v>
      </c>
      <c r="AY42" t="str">
        <v>No</v>
      </c>
      <c r="AZ42" t="str">
        <v>Lakshmi S</v>
      </c>
    </row>
    <row r="43" spans="3:52" x14ac:dyDescent="0.35">
      <c r="C43" s="5" t="str">
        <v>E1074</v>
      </c>
      <c r="D43" t="str">
        <v>Priya M</v>
      </c>
      <c r="E43" t="str">
        <v>Female</v>
      </c>
      <c r="F43" t="str">
        <v>Finance</v>
      </c>
      <c r="G43" t="str">
        <v>Senior Analyst</v>
      </c>
      <c r="H43" t="str">
        <v>Mumbai</v>
      </c>
      <c r="I43">
        <v>43609</v>
      </c>
      <c r="J43">
        <v>35730</v>
      </c>
      <c r="K43">
        <v>98709</v>
      </c>
      <c r="L43">
        <v>17896</v>
      </c>
      <c r="M43">
        <v>2056</v>
      </c>
      <c r="N43">
        <v>118661</v>
      </c>
      <c r="O43">
        <v>1423932</v>
      </c>
      <c r="P43">
        <v>2.0828901113373655E-2</v>
      </c>
      <c r="Q43">
        <v>18</v>
      </c>
      <c r="R43">
        <v>89</v>
      </c>
      <c r="S43">
        <v>4</v>
      </c>
      <c r="T43">
        <v>23</v>
      </c>
      <c r="U43">
        <v>18</v>
      </c>
      <c r="V43">
        <v>77</v>
      </c>
      <c r="W43">
        <v>0</v>
      </c>
      <c r="X43" t="str">
        <v>No</v>
      </c>
      <c r="Y43" t="str">
        <v>No</v>
      </c>
      <c r="Z43" t="str">
        <v>Manoj P</v>
      </c>
      <c r="AC43" t="str">
        <v>E1074</v>
      </c>
      <c r="AD43" t="str">
        <v>Priya M</v>
      </c>
      <c r="AE43" t="str">
        <v>Female</v>
      </c>
      <c r="AF43" t="str">
        <v>Finance</v>
      </c>
      <c r="AG43" t="str">
        <v>Senior Analyst</v>
      </c>
      <c r="AH43" t="str">
        <v>Mumbai</v>
      </c>
      <c r="AI43">
        <v>43609</v>
      </c>
      <c r="AJ43">
        <v>35730</v>
      </c>
      <c r="AK43">
        <v>98709</v>
      </c>
      <c r="AL43">
        <v>17896</v>
      </c>
      <c r="AM43">
        <v>2056</v>
      </c>
      <c r="AN43">
        <v>118661</v>
      </c>
      <c r="AO43">
        <v>1423932</v>
      </c>
      <c r="AP43">
        <v>2.0828901113373655E-2</v>
      </c>
      <c r="AQ43">
        <v>18</v>
      </c>
      <c r="AR43">
        <v>89</v>
      </c>
      <c r="AS43">
        <v>4</v>
      </c>
      <c r="AT43">
        <v>23</v>
      </c>
      <c r="AU43">
        <v>18</v>
      </c>
      <c r="AV43">
        <v>77</v>
      </c>
      <c r="AW43">
        <v>0</v>
      </c>
      <c r="AX43" t="str">
        <v>No</v>
      </c>
      <c r="AY43" t="str">
        <v>No</v>
      </c>
      <c r="AZ43" t="str">
        <v>Manoj P</v>
      </c>
    </row>
    <row r="44" spans="3:52" x14ac:dyDescent="0.35">
      <c r="C44" s="5" t="str">
        <v>E1076</v>
      </c>
      <c r="D44" t="str">
        <v>Ravi V</v>
      </c>
      <c r="E44" t="str">
        <v>Male</v>
      </c>
      <c r="F44" t="str">
        <v>Finance</v>
      </c>
      <c r="G44" t="str">
        <v>Senior Analyst</v>
      </c>
      <c r="H44" t="str">
        <v>Coimbatore</v>
      </c>
      <c r="I44">
        <v>45083</v>
      </c>
      <c r="J44">
        <v>33256</v>
      </c>
      <c r="K44">
        <v>82981</v>
      </c>
      <c r="L44">
        <v>3377</v>
      </c>
      <c r="M44">
        <v>1593</v>
      </c>
      <c r="N44">
        <v>87951</v>
      </c>
      <c r="O44">
        <v>1055412</v>
      </c>
      <c r="P44">
        <v>1.9197165616225403E-2</v>
      </c>
      <c r="Q44">
        <v>3</v>
      </c>
      <c r="R44">
        <v>96</v>
      </c>
      <c r="S44">
        <v>2</v>
      </c>
      <c r="T44">
        <v>61</v>
      </c>
      <c r="U44">
        <v>10</v>
      </c>
      <c r="V44">
        <v>85</v>
      </c>
      <c r="W44">
        <v>0</v>
      </c>
      <c r="X44" t="str">
        <v>No</v>
      </c>
      <c r="Y44" t="str">
        <v>No</v>
      </c>
      <c r="Z44" t="str">
        <v>Priya M</v>
      </c>
      <c r="AC44" t="str">
        <v>E1076</v>
      </c>
      <c r="AD44" t="str">
        <v>Ravi V</v>
      </c>
      <c r="AE44" t="str">
        <v>Male</v>
      </c>
      <c r="AF44" t="str">
        <v>Finance</v>
      </c>
      <c r="AG44" t="str">
        <v>Senior Analyst</v>
      </c>
      <c r="AH44" t="str">
        <v>Coimbatore</v>
      </c>
      <c r="AI44">
        <v>45083</v>
      </c>
      <c r="AJ44">
        <v>33256</v>
      </c>
      <c r="AK44">
        <v>82981</v>
      </c>
      <c r="AL44">
        <v>3377</v>
      </c>
      <c r="AM44">
        <v>1593</v>
      </c>
      <c r="AN44">
        <v>87951</v>
      </c>
      <c r="AO44">
        <v>1055412</v>
      </c>
      <c r="AP44">
        <v>1.9197165616225403E-2</v>
      </c>
      <c r="AQ44">
        <v>3</v>
      </c>
      <c r="AR44">
        <v>96</v>
      </c>
      <c r="AS44">
        <v>2</v>
      </c>
      <c r="AT44">
        <v>61</v>
      </c>
      <c r="AU44">
        <v>10</v>
      </c>
      <c r="AV44">
        <v>85</v>
      </c>
      <c r="AW44">
        <v>0</v>
      </c>
      <c r="AX44" t="str">
        <v>No</v>
      </c>
      <c r="AY44" t="str">
        <v>No</v>
      </c>
      <c r="AZ44" t="str">
        <v>Priya M</v>
      </c>
    </row>
    <row r="45" spans="3:52" x14ac:dyDescent="0.35">
      <c r="C45" s="5" t="str">
        <v>E1078</v>
      </c>
      <c r="D45" t="str">
        <v>Anitha P</v>
      </c>
      <c r="E45" t="str">
        <v>Male</v>
      </c>
      <c r="F45" t="str">
        <v>HR</v>
      </c>
      <c r="G45" t="str">
        <v>Senior Analyst</v>
      </c>
      <c r="H45" t="str">
        <v>Coimbatore</v>
      </c>
      <c r="I45">
        <v>42677</v>
      </c>
      <c r="J45">
        <v>30615</v>
      </c>
      <c r="K45">
        <v>59834</v>
      </c>
      <c r="L45">
        <v>15566</v>
      </c>
      <c r="M45">
        <v>11224</v>
      </c>
      <c r="N45">
        <v>86624</v>
      </c>
      <c r="O45">
        <v>1039488</v>
      </c>
      <c r="P45">
        <v>0.18758565364174215</v>
      </c>
      <c r="Q45">
        <v>10</v>
      </c>
      <c r="R45">
        <v>83</v>
      </c>
      <c r="S45">
        <v>2</v>
      </c>
      <c r="T45">
        <v>30</v>
      </c>
      <c r="U45">
        <v>0</v>
      </c>
      <c r="V45">
        <v>93</v>
      </c>
      <c r="W45">
        <v>0</v>
      </c>
      <c r="X45" t="str">
        <v>No</v>
      </c>
      <c r="Y45" t="str">
        <v>No</v>
      </c>
      <c r="Z45" t="str">
        <v>Manoj P</v>
      </c>
      <c r="AC45" t="str">
        <v>E1078</v>
      </c>
      <c r="AD45" t="str">
        <v>Anitha P</v>
      </c>
      <c r="AE45" t="str">
        <v>Male</v>
      </c>
      <c r="AF45" t="str">
        <v>HR</v>
      </c>
      <c r="AG45" t="str">
        <v>Senior Analyst</v>
      </c>
      <c r="AH45" t="str">
        <v>Coimbatore</v>
      </c>
      <c r="AI45">
        <v>42677</v>
      </c>
      <c r="AJ45">
        <v>30615</v>
      </c>
      <c r="AK45">
        <v>59834</v>
      </c>
      <c r="AL45">
        <v>15566</v>
      </c>
      <c r="AM45">
        <v>11224</v>
      </c>
      <c r="AN45">
        <v>86624</v>
      </c>
      <c r="AO45">
        <v>1039488</v>
      </c>
      <c r="AP45">
        <v>0.18758565364174215</v>
      </c>
      <c r="AQ45">
        <v>10</v>
      </c>
      <c r="AR45">
        <v>83</v>
      </c>
      <c r="AS45">
        <v>2</v>
      </c>
      <c r="AT45">
        <v>30</v>
      </c>
      <c r="AU45">
        <v>0</v>
      </c>
      <c r="AV45">
        <v>93</v>
      </c>
      <c r="AW45">
        <v>0</v>
      </c>
      <c r="AX45" t="str">
        <v>No</v>
      </c>
      <c r="AY45" t="str">
        <v>No</v>
      </c>
      <c r="AZ45" t="str">
        <v>Manoj P</v>
      </c>
    </row>
    <row r="46" spans="3:52" x14ac:dyDescent="0.35">
      <c r="C46" s="5" t="str">
        <v>E1079</v>
      </c>
      <c r="D46" t="str">
        <v>Lakshmi K</v>
      </c>
      <c r="E46" t="str">
        <v>Male</v>
      </c>
      <c r="F46" t="str">
        <v>Marketing</v>
      </c>
      <c r="G46" t="str">
        <v>Executive</v>
      </c>
      <c r="H46" t="str">
        <v>Chennai</v>
      </c>
      <c r="I46">
        <v>45296</v>
      </c>
      <c r="J46">
        <v>30260</v>
      </c>
      <c r="K46">
        <v>61652</v>
      </c>
      <c r="L46">
        <v>4292</v>
      </c>
      <c r="M46">
        <v>13650</v>
      </c>
      <c r="N46">
        <v>79594</v>
      </c>
      <c r="O46">
        <v>955128</v>
      </c>
      <c r="P46">
        <v>0.22140400960228379</v>
      </c>
      <c r="Q46">
        <v>17</v>
      </c>
      <c r="R46">
        <v>100</v>
      </c>
      <c r="S46">
        <v>5</v>
      </c>
      <c r="T46">
        <v>50</v>
      </c>
      <c r="U46">
        <v>7</v>
      </c>
      <c r="V46">
        <v>73</v>
      </c>
      <c r="W46">
        <v>0</v>
      </c>
      <c r="X46" t="str">
        <v>No</v>
      </c>
      <c r="Y46" t="str">
        <v>Yes</v>
      </c>
      <c r="Z46" t="str">
        <v>Divya R</v>
      </c>
      <c r="AC46" t="str">
        <v>E1079</v>
      </c>
      <c r="AD46" t="str">
        <v>Lakshmi K</v>
      </c>
      <c r="AE46" t="str">
        <v>Male</v>
      </c>
      <c r="AF46" t="str">
        <v>Marketing</v>
      </c>
      <c r="AG46" t="str">
        <v>Executive</v>
      </c>
      <c r="AH46" t="str">
        <v>Chennai</v>
      </c>
      <c r="AI46">
        <v>45296</v>
      </c>
      <c r="AJ46">
        <v>30260</v>
      </c>
      <c r="AK46">
        <v>61652</v>
      </c>
      <c r="AL46">
        <v>4292</v>
      </c>
      <c r="AM46">
        <v>13650</v>
      </c>
      <c r="AN46">
        <v>79594</v>
      </c>
      <c r="AO46">
        <v>955128</v>
      </c>
      <c r="AP46">
        <v>0.22140400960228379</v>
      </c>
      <c r="AQ46">
        <v>17</v>
      </c>
      <c r="AR46">
        <v>100</v>
      </c>
      <c r="AS46">
        <v>5</v>
      </c>
      <c r="AT46">
        <v>50</v>
      </c>
      <c r="AU46">
        <v>7</v>
      </c>
      <c r="AV46">
        <v>73</v>
      </c>
      <c r="AW46">
        <v>0</v>
      </c>
      <c r="AX46" t="str">
        <v>No</v>
      </c>
      <c r="AY46" t="str">
        <v>Yes</v>
      </c>
      <c r="AZ46" t="str">
        <v>Divya R</v>
      </c>
    </row>
    <row r="47" spans="3:52" x14ac:dyDescent="0.35">
      <c r="C47" s="5" t="str">
        <v>E1082</v>
      </c>
      <c r="D47" t="str">
        <v>Ajay S</v>
      </c>
      <c r="E47" t="str">
        <v>Male</v>
      </c>
      <c r="F47" t="str">
        <v>HR</v>
      </c>
      <c r="G47" t="str">
        <v>Team Lead</v>
      </c>
      <c r="H47" t="str">
        <v>Mumbai</v>
      </c>
      <c r="I47">
        <v>42569</v>
      </c>
      <c r="J47">
        <v>38020</v>
      </c>
      <c r="K47">
        <v>65548</v>
      </c>
      <c r="L47">
        <v>11736</v>
      </c>
      <c r="M47">
        <v>13132</v>
      </c>
      <c r="N47">
        <v>90416</v>
      </c>
      <c r="O47">
        <v>1084992</v>
      </c>
      <c r="P47">
        <v>0.20034173430158053</v>
      </c>
      <c r="Q47">
        <v>18</v>
      </c>
      <c r="R47">
        <v>90</v>
      </c>
      <c r="S47">
        <v>4</v>
      </c>
      <c r="T47">
        <v>80</v>
      </c>
      <c r="U47">
        <v>20</v>
      </c>
      <c r="V47">
        <v>86</v>
      </c>
      <c r="W47">
        <v>0</v>
      </c>
      <c r="X47" t="str">
        <v>No</v>
      </c>
      <c r="Y47" t="str">
        <v>No</v>
      </c>
      <c r="Z47" t="str">
        <v>Lakshmi S</v>
      </c>
      <c r="AC47" t="str">
        <v>E1082</v>
      </c>
      <c r="AD47" t="str">
        <v>Ajay S</v>
      </c>
      <c r="AE47" t="str">
        <v>Male</v>
      </c>
      <c r="AF47" t="str">
        <v>HR</v>
      </c>
      <c r="AG47" t="str">
        <v>Team Lead</v>
      </c>
      <c r="AH47" t="str">
        <v>Mumbai</v>
      </c>
      <c r="AI47">
        <v>42569</v>
      </c>
      <c r="AJ47">
        <v>38020</v>
      </c>
      <c r="AK47">
        <v>65548</v>
      </c>
      <c r="AL47">
        <v>11736</v>
      </c>
      <c r="AM47">
        <v>13132</v>
      </c>
      <c r="AN47">
        <v>90416</v>
      </c>
      <c r="AO47">
        <v>1084992</v>
      </c>
      <c r="AP47">
        <v>0.20034173430158053</v>
      </c>
      <c r="AQ47">
        <v>18</v>
      </c>
      <c r="AR47">
        <v>90</v>
      </c>
      <c r="AS47">
        <v>4</v>
      </c>
      <c r="AT47">
        <v>80</v>
      </c>
      <c r="AU47">
        <v>20</v>
      </c>
      <c r="AV47">
        <v>86</v>
      </c>
      <c r="AW47">
        <v>0</v>
      </c>
      <c r="AX47" t="str">
        <v>No</v>
      </c>
      <c r="AY47" t="str">
        <v>No</v>
      </c>
      <c r="AZ47" t="str">
        <v>Lakshmi S</v>
      </c>
    </row>
    <row r="48" spans="3:52" x14ac:dyDescent="0.35">
      <c r="C48" s="5" t="str">
        <v>E1083</v>
      </c>
      <c r="D48" t="str">
        <v>Vijay R</v>
      </c>
      <c r="E48" t="str">
        <v>Female</v>
      </c>
      <c r="F48" t="str">
        <v>Finance</v>
      </c>
      <c r="G48" t="str">
        <v>Analyst</v>
      </c>
      <c r="H48" t="str">
        <v>Chennai</v>
      </c>
      <c r="I48">
        <v>43935</v>
      </c>
      <c r="J48">
        <v>33285</v>
      </c>
      <c r="K48">
        <v>83392</v>
      </c>
      <c r="L48">
        <v>9473</v>
      </c>
      <c r="M48">
        <v>4844</v>
      </c>
      <c r="N48">
        <v>97709</v>
      </c>
      <c r="O48">
        <v>1172508</v>
      </c>
      <c r="P48">
        <v>5.808710667689946E-2</v>
      </c>
      <c r="Q48">
        <v>13</v>
      </c>
      <c r="R48">
        <v>89</v>
      </c>
      <c r="S48">
        <v>3</v>
      </c>
      <c r="T48">
        <v>68</v>
      </c>
      <c r="U48">
        <v>24</v>
      </c>
      <c r="V48">
        <v>84</v>
      </c>
      <c r="W48">
        <v>0</v>
      </c>
      <c r="X48" t="str">
        <v>No</v>
      </c>
      <c r="Y48" t="str">
        <v>No</v>
      </c>
      <c r="Z48" t="str">
        <v>Priya M</v>
      </c>
      <c r="AC48" t="str">
        <v>E1083</v>
      </c>
      <c r="AD48" t="str">
        <v>Vijay R</v>
      </c>
      <c r="AE48" t="str">
        <v>Female</v>
      </c>
      <c r="AF48" t="str">
        <v>Finance</v>
      </c>
      <c r="AG48" t="str">
        <v>Analyst</v>
      </c>
      <c r="AH48" t="str">
        <v>Chennai</v>
      </c>
      <c r="AI48">
        <v>43935</v>
      </c>
      <c r="AJ48">
        <v>33285</v>
      </c>
      <c r="AK48">
        <v>83392</v>
      </c>
      <c r="AL48">
        <v>9473</v>
      </c>
      <c r="AM48">
        <v>4844</v>
      </c>
      <c r="AN48">
        <v>97709</v>
      </c>
      <c r="AO48">
        <v>1172508</v>
      </c>
      <c r="AP48">
        <v>5.808710667689946E-2</v>
      </c>
      <c r="AQ48">
        <v>13</v>
      </c>
      <c r="AR48">
        <v>89</v>
      </c>
      <c r="AS48">
        <v>3</v>
      </c>
      <c r="AT48">
        <v>68</v>
      </c>
      <c r="AU48">
        <v>24</v>
      </c>
      <c r="AV48">
        <v>84</v>
      </c>
      <c r="AW48">
        <v>0</v>
      </c>
      <c r="AX48" t="str">
        <v>No</v>
      </c>
      <c r="AY48" t="str">
        <v>No</v>
      </c>
      <c r="AZ48" t="str">
        <v>Priya M</v>
      </c>
    </row>
    <row r="49" spans="3:52" x14ac:dyDescent="0.35">
      <c r="C49" s="5" t="str">
        <v>E1088</v>
      </c>
      <c r="D49" t="str">
        <v>Meena K</v>
      </c>
      <c r="E49" t="str">
        <v>Male</v>
      </c>
      <c r="F49" t="str">
        <v>Sales</v>
      </c>
      <c r="G49" t="str">
        <v>Senior Analyst</v>
      </c>
      <c r="H49" t="str">
        <v>Chennai</v>
      </c>
      <c r="I49">
        <v>45507</v>
      </c>
      <c r="J49">
        <v>29873</v>
      </c>
      <c r="K49">
        <v>72746</v>
      </c>
      <c r="L49">
        <v>7804</v>
      </c>
      <c r="M49">
        <v>14797</v>
      </c>
      <c r="N49">
        <v>95347</v>
      </c>
      <c r="O49">
        <v>1144164</v>
      </c>
      <c r="P49">
        <v>0.2034063728589888</v>
      </c>
      <c r="Q49">
        <v>5</v>
      </c>
      <c r="R49">
        <v>93</v>
      </c>
      <c r="S49">
        <v>5</v>
      </c>
      <c r="T49">
        <v>8</v>
      </c>
      <c r="U49">
        <v>6</v>
      </c>
      <c r="V49">
        <v>98</v>
      </c>
      <c r="W49">
        <v>0</v>
      </c>
      <c r="X49" t="str">
        <v>No</v>
      </c>
      <c r="Y49" t="str">
        <v>No</v>
      </c>
      <c r="Z49" t="str">
        <v>Lakshmi S</v>
      </c>
      <c r="AC49" t="str">
        <v>E1088</v>
      </c>
      <c r="AD49" t="str">
        <v>Meena K</v>
      </c>
      <c r="AE49" t="str">
        <v>Male</v>
      </c>
      <c r="AF49" t="str">
        <v>Sales</v>
      </c>
      <c r="AG49" t="str">
        <v>Senior Analyst</v>
      </c>
      <c r="AH49" t="str">
        <v>Chennai</v>
      </c>
      <c r="AI49">
        <v>45507</v>
      </c>
      <c r="AJ49">
        <v>29873</v>
      </c>
      <c r="AK49">
        <v>72746</v>
      </c>
      <c r="AL49">
        <v>7804</v>
      </c>
      <c r="AM49">
        <v>14797</v>
      </c>
      <c r="AN49">
        <v>95347</v>
      </c>
      <c r="AO49">
        <v>1144164</v>
      </c>
      <c r="AP49">
        <v>0.2034063728589888</v>
      </c>
      <c r="AQ49">
        <v>5</v>
      </c>
      <c r="AR49">
        <v>93</v>
      </c>
      <c r="AS49">
        <v>5</v>
      </c>
      <c r="AT49">
        <v>8</v>
      </c>
      <c r="AU49">
        <v>6</v>
      </c>
      <c r="AV49">
        <v>98</v>
      </c>
      <c r="AW49">
        <v>0</v>
      </c>
      <c r="AX49" t="str">
        <v>No</v>
      </c>
      <c r="AY49" t="str">
        <v>No</v>
      </c>
      <c r="AZ49" t="str">
        <v>Lakshmi S</v>
      </c>
    </row>
    <row r="50" spans="3:52" x14ac:dyDescent="0.35">
      <c r="C50" s="5" t="str">
        <v>E1089</v>
      </c>
      <c r="D50" t="str">
        <v>Arjun P</v>
      </c>
      <c r="E50" t="str">
        <v>Male</v>
      </c>
      <c r="F50" t="str">
        <v>IT</v>
      </c>
      <c r="G50" t="str">
        <v>Senior Analyst</v>
      </c>
      <c r="H50" t="str">
        <v>Coimbatore</v>
      </c>
      <c r="I50">
        <v>45220</v>
      </c>
      <c r="J50">
        <v>38197</v>
      </c>
      <c r="K50">
        <v>95018</v>
      </c>
      <c r="L50">
        <v>16727</v>
      </c>
      <c r="M50">
        <v>9490</v>
      </c>
      <c r="N50">
        <v>121235</v>
      </c>
      <c r="O50">
        <v>1454820</v>
      </c>
      <c r="P50">
        <v>9.9875813003851899E-2</v>
      </c>
      <c r="Q50">
        <v>1</v>
      </c>
      <c r="R50">
        <v>81</v>
      </c>
      <c r="S50">
        <v>1</v>
      </c>
      <c r="T50">
        <v>31</v>
      </c>
      <c r="U50">
        <v>14</v>
      </c>
      <c r="V50">
        <v>80</v>
      </c>
      <c r="W50">
        <v>0</v>
      </c>
      <c r="X50" t="str">
        <v>No</v>
      </c>
      <c r="Y50" t="str">
        <v>No</v>
      </c>
      <c r="Z50" t="str">
        <v>Karthik V</v>
      </c>
      <c r="AC50" t="str">
        <v>E1089</v>
      </c>
      <c r="AD50" t="str">
        <v>Arjun P</v>
      </c>
      <c r="AE50" t="str">
        <v>Male</v>
      </c>
      <c r="AF50" t="str">
        <v>IT</v>
      </c>
      <c r="AG50" t="str">
        <v>Senior Analyst</v>
      </c>
      <c r="AH50" t="str">
        <v>Coimbatore</v>
      </c>
      <c r="AI50">
        <v>45220</v>
      </c>
      <c r="AJ50">
        <v>38197</v>
      </c>
      <c r="AK50">
        <v>95018</v>
      </c>
      <c r="AL50">
        <v>16727</v>
      </c>
      <c r="AM50">
        <v>9490</v>
      </c>
      <c r="AN50">
        <v>121235</v>
      </c>
      <c r="AO50">
        <v>1454820</v>
      </c>
      <c r="AP50">
        <v>9.9875813003851899E-2</v>
      </c>
      <c r="AQ50">
        <v>1</v>
      </c>
      <c r="AR50">
        <v>81</v>
      </c>
      <c r="AS50">
        <v>1</v>
      </c>
      <c r="AT50">
        <v>31</v>
      </c>
      <c r="AU50">
        <v>14</v>
      </c>
      <c r="AV50">
        <v>80</v>
      </c>
      <c r="AW50">
        <v>0</v>
      </c>
      <c r="AX50" t="str">
        <v>No</v>
      </c>
      <c r="AY50" t="str">
        <v>No</v>
      </c>
      <c r="AZ50" t="str">
        <v>Karthik V</v>
      </c>
    </row>
    <row r="51" spans="3:52" x14ac:dyDescent="0.35">
      <c r="C51" s="5" t="str">
        <v>E1090</v>
      </c>
      <c r="D51" t="str">
        <v>Lakshmi R</v>
      </c>
      <c r="E51" t="str">
        <v>Female</v>
      </c>
      <c r="F51" t="str">
        <v>Sales</v>
      </c>
      <c r="G51" t="str">
        <v>Analyst</v>
      </c>
      <c r="H51" t="str">
        <v>Chennai</v>
      </c>
      <c r="I51">
        <v>45466</v>
      </c>
      <c r="J51">
        <v>33444</v>
      </c>
      <c r="K51">
        <v>52855</v>
      </c>
      <c r="L51">
        <v>17612</v>
      </c>
      <c r="M51">
        <v>11403</v>
      </c>
      <c r="N51">
        <v>81870</v>
      </c>
      <c r="O51">
        <v>982440</v>
      </c>
      <c r="P51">
        <v>0.21574117869643364</v>
      </c>
      <c r="Q51">
        <v>13</v>
      </c>
      <c r="R51">
        <v>99</v>
      </c>
      <c r="S51">
        <v>3</v>
      </c>
      <c r="T51">
        <v>64</v>
      </c>
      <c r="U51">
        <v>18</v>
      </c>
      <c r="V51">
        <v>51</v>
      </c>
      <c r="W51">
        <v>0</v>
      </c>
      <c r="X51" t="str">
        <v>No</v>
      </c>
      <c r="Y51" t="str">
        <v>No</v>
      </c>
      <c r="Z51" t="str">
        <v>Lakshmi S</v>
      </c>
      <c r="AC51" t="str">
        <v>E1090</v>
      </c>
      <c r="AD51" t="str">
        <v>Lakshmi R</v>
      </c>
      <c r="AE51" t="str">
        <v>Female</v>
      </c>
      <c r="AF51" t="str">
        <v>Sales</v>
      </c>
      <c r="AG51" t="str">
        <v>Analyst</v>
      </c>
      <c r="AH51" t="str">
        <v>Chennai</v>
      </c>
      <c r="AI51">
        <v>45466</v>
      </c>
      <c r="AJ51">
        <v>33444</v>
      </c>
      <c r="AK51">
        <v>52855</v>
      </c>
      <c r="AL51">
        <v>17612</v>
      </c>
      <c r="AM51">
        <v>11403</v>
      </c>
      <c r="AN51">
        <v>81870</v>
      </c>
      <c r="AO51">
        <v>982440</v>
      </c>
      <c r="AP51">
        <v>0.21574117869643364</v>
      </c>
      <c r="AQ51">
        <v>13</v>
      </c>
      <c r="AR51">
        <v>99</v>
      </c>
      <c r="AS51">
        <v>3</v>
      </c>
      <c r="AT51">
        <v>64</v>
      </c>
      <c r="AU51">
        <v>18</v>
      </c>
      <c r="AV51">
        <v>51</v>
      </c>
      <c r="AW51">
        <v>0</v>
      </c>
      <c r="AX51" t="str">
        <v>No</v>
      </c>
      <c r="AY51" t="str">
        <v>No</v>
      </c>
      <c r="AZ51" t="str">
        <v>Lakshmi S</v>
      </c>
    </row>
    <row r="52" spans="3:52" x14ac:dyDescent="0.35">
      <c r="C52" s="5" t="str">
        <v>E1091</v>
      </c>
      <c r="D52" t="str">
        <v>Sneha R</v>
      </c>
      <c r="E52" t="str">
        <v>Female</v>
      </c>
      <c r="F52" t="str">
        <v>HR</v>
      </c>
      <c r="G52" t="str">
        <v>Team Lead</v>
      </c>
      <c r="H52" t="str">
        <v>Chennai</v>
      </c>
      <c r="I52">
        <v>43653</v>
      </c>
      <c r="J52">
        <v>31502</v>
      </c>
      <c r="K52">
        <v>66102</v>
      </c>
      <c r="L52">
        <v>12992</v>
      </c>
      <c r="M52">
        <v>9143</v>
      </c>
      <c r="N52">
        <v>88237</v>
      </c>
      <c r="O52">
        <v>1058844</v>
      </c>
      <c r="P52">
        <v>0.13831654110314362</v>
      </c>
      <c r="Q52">
        <v>18</v>
      </c>
      <c r="R52">
        <v>94</v>
      </c>
      <c r="S52">
        <v>3</v>
      </c>
      <c r="T52">
        <v>18</v>
      </c>
      <c r="U52">
        <v>25</v>
      </c>
      <c r="V52">
        <v>57</v>
      </c>
      <c r="W52">
        <v>0</v>
      </c>
      <c r="X52" t="str">
        <v>No</v>
      </c>
      <c r="Y52" t="str">
        <v>No</v>
      </c>
      <c r="Z52" t="str">
        <v>Karthik V</v>
      </c>
      <c r="AC52" t="str">
        <v>E1091</v>
      </c>
      <c r="AD52" t="str">
        <v>Sneha R</v>
      </c>
      <c r="AE52" t="str">
        <v>Female</v>
      </c>
      <c r="AF52" t="str">
        <v>HR</v>
      </c>
      <c r="AG52" t="str">
        <v>Team Lead</v>
      </c>
      <c r="AH52" t="str">
        <v>Chennai</v>
      </c>
      <c r="AI52">
        <v>43653</v>
      </c>
      <c r="AJ52">
        <v>31502</v>
      </c>
      <c r="AK52">
        <v>66102</v>
      </c>
      <c r="AL52">
        <v>12992</v>
      </c>
      <c r="AM52">
        <v>9143</v>
      </c>
      <c r="AN52">
        <v>88237</v>
      </c>
      <c r="AO52">
        <v>1058844</v>
      </c>
      <c r="AP52">
        <v>0.13831654110314362</v>
      </c>
      <c r="AQ52">
        <v>18</v>
      </c>
      <c r="AR52">
        <v>94</v>
      </c>
      <c r="AS52">
        <v>3</v>
      </c>
      <c r="AT52">
        <v>18</v>
      </c>
      <c r="AU52">
        <v>25</v>
      </c>
      <c r="AV52">
        <v>57</v>
      </c>
      <c r="AW52">
        <v>0</v>
      </c>
      <c r="AX52" t="str">
        <v>No</v>
      </c>
      <c r="AY52" t="str">
        <v>No</v>
      </c>
      <c r="AZ52" t="str">
        <v>Karthik V</v>
      </c>
    </row>
    <row r="53" spans="3:52" x14ac:dyDescent="0.35">
      <c r="C53" s="5" t="str">
        <v>E1095</v>
      </c>
      <c r="D53" t="str">
        <v>Kumar R</v>
      </c>
      <c r="E53" t="str">
        <v>Male</v>
      </c>
      <c r="F53" t="str">
        <v>IT</v>
      </c>
      <c r="G53" t="str">
        <v>Team Lead</v>
      </c>
      <c r="H53" t="str">
        <v>Mumbai</v>
      </c>
      <c r="I53">
        <v>42362</v>
      </c>
      <c r="J53">
        <v>35168</v>
      </c>
      <c r="K53">
        <v>52123</v>
      </c>
      <c r="L53">
        <v>17765</v>
      </c>
      <c r="M53">
        <v>13024</v>
      </c>
      <c r="N53">
        <v>82912</v>
      </c>
      <c r="O53">
        <v>994944</v>
      </c>
      <c r="P53">
        <v>0.24987049862824473</v>
      </c>
      <c r="Q53">
        <v>2</v>
      </c>
      <c r="R53">
        <v>80</v>
      </c>
      <c r="S53">
        <v>4</v>
      </c>
      <c r="T53">
        <v>22</v>
      </c>
      <c r="U53">
        <v>19</v>
      </c>
      <c r="V53">
        <v>91</v>
      </c>
      <c r="W53">
        <v>0</v>
      </c>
      <c r="X53" t="str">
        <v>Yes</v>
      </c>
      <c r="Y53" t="str">
        <v>No</v>
      </c>
      <c r="Z53" t="str">
        <v>Lakshmi S</v>
      </c>
      <c r="AC53" t="str">
        <v>E1095</v>
      </c>
      <c r="AD53" t="str">
        <v>Kumar R</v>
      </c>
      <c r="AE53" t="str">
        <v>Male</v>
      </c>
      <c r="AF53" t="str">
        <v>IT</v>
      </c>
      <c r="AG53" t="str">
        <v>Team Lead</v>
      </c>
      <c r="AH53" t="str">
        <v>Mumbai</v>
      </c>
      <c r="AI53">
        <v>42362</v>
      </c>
      <c r="AJ53">
        <v>35168</v>
      </c>
      <c r="AK53">
        <v>52123</v>
      </c>
      <c r="AL53">
        <v>17765</v>
      </c>
      <c r="AM53">
        <v>13024</v>
      </c>
      <c r="AN53">
        <v>82912</v>
      </c>
      <c r="AO53">
        <v>994944</v>
      </c>
      <c r="AP53">
        <v>0.24987049862824473</v>
      </c>
      <c r="AQ53">
        <v>2</v>
      </c>
      <c r="AR53">
        <v>80</v>
      </c>
      <c r="AS53">
        <v>4</v>
      </c>
      <c r="AT53">
        <v>22</v>
      </c>
      <c r="AU53">
        <v>19</v>
      </c>
      <c r="AV53">
        <v>91</v>
      </c>
      <c r="AW53">
        <v>0</v>
      </c>
      <c r="AX53" t="str">
        <v>Yes</v>
      </c>
      <c r="AY53" t="str">
        <v>No</v>
      </c>
      <c r="AZ53" t="str">
        <v>Lakshmi S</v>
      </c>
    </row>
    <row r="54" spans="3:52" x14ac:dyDescent="0.35">
      <c r="C54" s="5" t="str">
        <v>E1096</v>
      </c>
      <c r="D54" t="str">
        <v>Meena V</v>
      </c>
      <c r="E54" t="str">
        <v>Female</v>
      </c>
      <c r="F54" t="str">
        <v>Marketing</v>
      </c>
      <c r="G54" t="str">
        <v>Executive</v>
      </c>
      <c r="H54" t="str">
        <v>Hyderabad</v>
      </c>
      <c r="I54">
        <v>42669</v>
      </c>
      <c r="J54">
        <v>34272</v>
      </c>
      <c r="K54">
        <v>95255</v>
      </c>
      <c r="L54">
        <v>5763</v>
      </c>
      <c r="M54">
        <v>9533</v>
      </c>
      <c r="N54">
        <v>110551</v>
      </c>
      <c r="O54">
        <v>1326612</v>
      </c>
      <c r="P54">
        <v>0.10007873602435567</v>
      </c>
      <c r="Q54">
        <v>16</v>
      </c>
      <c r="R54">
        <v>97</v>
      </c>
      <c r="S54">
        <v>1</v>
      </c>
      <c r="T54">
        <v>38</v>
      </c>
      <c r="U54">
        <v>9</v>
      </c>
      <c r="V54">
        <v>68</v>
      </c>
      <c r="W54">
        <v>0</v>
      </c>
      <c r="X54" t="str">
        <v>No</v>
      </c>
      <c r="Y54" t="str">
        <v>No</v>
      </c>
      <c r="Z54" t="str">
        <v>Ravi Kumar</v>
      </c>
      <c r="AC54" t="str">
        <v>E1096</v>
      </c>
      <c r="AD54" t="str">
        <v>Meena V</v>
      </c>
      <c r="AE54" t="str">
        <v>Female</v>
      </c>
      <c r="AF54" t="str">
        <v>Marketing</v>
      </c>
      <c r="AG54" t="str">
        <v>Executive</v>
      </c>
      <c r="AH54" t="str">
        <v>Hyderabad</v>
      </c>
      <c r="AI54">
        <v>42669</v>
      </c>
      <c r="AJ54">
        <v>34272</v>
      </c>
      <c r="AK54">
        <v>95255</v>
      </c>
      <c r="AL54">
        <v>5763</v>
      </c>
      <c r="AM54">
        <v>9533</v>
      </c>
      <c r="AN54">
        <v>110551</v>
      </c>
      <c r="AO54">
        <v>1326612</v>
      </c>
      <c r="AP54">
        <v>0.10007873602435567</v>
      </c>
      <c r="AQ54">
        <v>16</v>
      </c>
      <c r="AR54">
        <v>97</v>
      </c>
      <c r="AS54">
        <v>1</v>
      </c>
      <c r="AT54">
        <v>38</v>
      </c>
      <c r="AU54">
        <v>9</v>
      </c>
      <c r="AV54">
        <v>68</v>
      </c>
      <c r="AW54">
        <v>0</v>
      </c>
      <c r="AX54" t="str">
        <v>No</v>
      </c>
      <c r="AY54" t="str">
        <v>No</v>
      </c>
      <c r="AZ54" t="str">
        <v>Ravi Kumar</v>
      </c>
    </row>
    <row r="55" spans="3:52" x14ac:dyDescent="0.35">
      <c r="C55" s="5" t="str">
        <v>E1097</v>
      </c>
      <c r="D55" t="str">
        <v>Karthik P</v>
      </c>
      <c r="E55" t="str">
        <v>Male</v>
      </c>
      <c r="F55" t="str">
        <v>Finance</v>
      </c>
      <c r="G55" t="str">
        <v>Associate</v>
      </c>
      <c r="H55" t="str">
        <v>Chennai</v>
      </c>
      <c r="I55">
        <v>43068</v>
      </c>
      <c r="J55">
        <v>30404</v>
      </c>
      <c r="K55">
        <v>95918</v>
      </c>
      <c r="L55">
        <v>6561</v>
      </c>
      <c r="M55">
        <v>1711</v>
      </c>
      <c r="N55">
        <v>104190</v>
      </c>
      <c r="O55">
        <v>1250280</v>
      </c>
      <c r="P55">
        <v>1.7838153422715237E-2</v>
      </c>
      <c r="Q55">
        <v>18</v>
      </c>
      <c r="R55">
        <v>96</v>
      </c>
      <c r="S55">
        <v>5</v>
      </c>
      <c r="T55">
        <v>58</v>
      </c>
      <c r="U55">
        <v>16</v>
      </c>
      <c r="V55">
        <v>52</v>
      </c>
      <c r="W55">
        <v>0</v>
      </c>
      <c r="X55" t="str">
        <v>No</v>
      </c>
      <c r="Y55" t="str">
        <v>Yes</v>
      </c>
      <c r="Z55" t="str">
        <v>Manoj P</v>
      </c>
      <c r="AC55" t="str">
        <v>E1097</v>
      </c>
      <c r="AD55" t="str">
        <v>Karthik P</v>
      </c>
      <c r="AE55" t="str">
        <v>Male</v>
      </c>
      <c r="AF55" t="str">
        <v>Finance</v>
      </c>
      <c r="AG55" t="str">
        <v>Associate</v>
      </c>
      <c r="AH55" t="str">
        <v>Chennai</v>
      </c>
      <c r="AI55">
        <v>43068</v>
      </c>
      <c r="AJ55">
        <v>30404</v>
      </c>
      <c r="AK55">
        <v>95918</v>
      </c>
      <c r="AL55">
        <v>6561</v>
      </c>
      <c r="AM55">
        <v>1711</v>
      </c>
      <c r="AN55">
        <v>104190</v>
      </c>
      <c r="AO55">
        <v>1250280</v>
      </c>
      <c r="AP55">
        <v>1.7838153422715237E-2</v>
      </c>
      <c r="AQ55">
        <v>18</v>
      </c>
      <c r="AR55">
        <v>96</v>
      </c>
      <c r="AS55">
        <v>5</v>
      </c>
      <c r="AT55">
        <v>58</v>
      </c>
      <c r="AU55">
        <v>16</v>
      </c>
      <c r="AV55">
        <v>52</v>
      </c>
      <c r="AW55">
        <v>0</v>
      </c>
      <c r="AX55" t="str">
        <v>No</v>
      </c>
      <c r="AY55" t="str">
        <v>Yes</v>
      </c>
      <c r="AZ55" t="str">
        <v>Manoj P</v>
      </c>
    </row>
    <row r="56" spans="3:52" x14ac:dyDescent="0.35">
      <c r="C56" s="5" t="str">
        <v>E1104</v>
      </c>
      <c r="D56" t="str">
        <v>Anitha M</v>
      </c>
      <c r="E56" t="str">
        <v>Female</v>
      </c>
      <c r="F56" t="str">
        <v>Finance</v>
      </c>
      <c r="G56" t="str">
        <v>Senior Analyst</v>
      </c>
      <c r="H56" t="str">
        <v>Madurai</v>
      </c>
      <c r="I56">
        <v>42200</v>
      </c>
      <c r="J56">
        <v>31508</v>
      </c>
      <c r="K56">
        <v>81244</v>
      </c>
      <c r="L56">
        <v>6879</v>
      </c>
      <c r="M56">
        <v>9496</v>
      </c>
      <c r="N56">
        <v>97619</v>
      </c>
      <c r="O56">
        <v>1171428</v>
      </c>
      <c r="P56">
        <v>0.11688247747525971</v>
      </c>
      <c r="Q56">
        <v>4</v>
      </c>
      <c r="R56">
        <v>88</v>
      </c>
      <c r="S56">
        <v>5</v>
      </c>
      <c r="T56">
        <v>8</v>
      </c>
      <c r="U56">
        <v>24</v>
      </c>
      <c r="V56">
        <v>90</v>
      </c>
      <c r="W56">
        <v>0</v>
      </c>
      <c r="X56" t="str">
        <v>No</v>
      </c>
      <c r="Y56" t="str">
        <v>No</v>
      </c>
      <c r="Z56" t="str">
        <v>Ravi Kumar</v>
      </c>
      <c r="AC56" t="str">
        <v>E1104</v>
      </c>
      <c r="AD56" t="str">
        <v>Anitha M</v>
      </c>
      <c r="AE56" t="str">
        <v>Female</v>
      </c>
      <c r="AF56" t="str">
        <v>Finance</v>
      </c>
      <c r="AG56" t="str">
        <v>Senior Analyst</v>
      </c>
      <c r="AH56" t="str">
        <v>Madurai</v>
      </c>
      <c r="AI56">
        <v>42200</v>
      </c>
      <c r="AJ56">
        <v>31508</v>
      </c>
      <c r="AK56">
        <v>81244</v>
      </c>
      <c r="AL56">
        <v>6879</v>
      </c>
      <c r="AM56">
        <v>9496</v>
      </c>
      <c r="AN56">
        <v>97619</v>
      </c>
      <c r="AO56">
        <v>1171428</v>
      </c>
      <c r="AP56">
        <v>0.11688247747525971</v>
      </c>
      <c r="AQ56">
        <v>4</v>
      </c>
      <c r="AR56">
        <v>88</v>
      </c>
      <c r="AS56">
        <v>5</v>
      </c>
      <c r="AT56">
        <v>8</v>
      </c>
      <c r="AU56">
        <v>24</v>
      </c>
      <c r="AV56">
        <v>90</v>
      </c>
      <c r="AW56">
        <v>0</v>
      </c>
      <c r="AX56" t="str">
        <v>No</v>
      </c>
      <c r="AY56" t="str">
        <v>No</v>
      </c>
      <c r="AZ56" t="str">
        <v>Ravi Kumar</v>
      </c>
    </row>
    <row r="57" spans="3:52" x14ac:dyDescent="0.35">
      <c r="C57" s="5" t="str">
        <v>E1105</v>
      </c>
      <c r="D57" t="str">
        <v>Arjun P</v>
      </c>
      <c r="E57" t="str">
        <v>Male</v>
      </c>
      <c r="F57" t="str">
        <v>Finance</v>
      </c>
      <c r="G57" t="str">
        <v>Senior Analyst</v>
      </c>
      <c r="H57" t="str">
        <v>Mumbai</v>
      </c>
      <c r="I57">
        <v>45617</v>
      </c>
      <c r="J57">
        <v>36415</v>
      </c>
      <c r="K57">
        <v>93719</v>
      </c>
      <c r="L57">
        <v>9717</v>
      </c>
      <c r="M57">
        <v>8441</v>
      </c>
      <c r="N57">
        <v>111877</v>
      </c>
      <c r="O57">
        <v>1342524</v>
      </c>
      <c r="P57">
        <v>9.006711552620067E-2</v>
      </c>
      <c r="Q57">
        <v>2</v>
      </c>
      <c r="R57">
        <v>81</v>
      </c>
      <c r="S57">
        <v>2</v>
      </c>
      <c r="T57">
        <v>8</v>
      </c>
      <c r="U57">
        <v>20</v>
      </c>
      <c r="V57">
        <v>60</v>
      </c>
      <c r="W57">
        <v>0</v>
      </c>
      <c r="X57" t="str">
        <v>Yes</v>
      </c>
      <c r="Y57" t="str">
        <v>No</v>
      </c>
      <c r="Z57" t="str">
        <v>Divya R</v>
      </c>
      <c r="AC57" t="str">
        <v>E1105</v>
      </c>
      <c r="AD57" t="str">
        <v>Arjun P</v>
      </c>
      <c r="AE57" t="str">
        <v>Male</v>
      </c>
      <c r="AF57" t="str">
        <v>Finance</v>
      </c>
      <c r="AG57" t="str">
        <v>Senior Analyst</v>
      </c>
      <c r="AH57" t="str">
        <v>Mumbai</v>
      </c>
      <c r="AI57">
        <v>45617</v>
      </c>
      <c r="AJ57">
        <v>36415</v>
      </c>
      <c r="AK57">
        <v>93719</v>
      </c>
      <c r="AL57">
        <v>9717</v>
      </c>
      <c r="AM57">
        <v>8441</v>
      </c>
      <c r="AN57">
        <v>111877</v>
      </c>
      <c r="AO57">
        <v>1342524</v>
      </c>
      <c r="AP57">
        <v>9.006711552620067E-2</v>
      </c>
      <c r="AQ57">
        <v>2</v>
      </c>
      <c r="AR57">
        <v>81</v>
      </c>
      <c r="AS57">
        <v>2</v>
      </c>
      <c r="AT57">
        <v>8</v>
      </c>
      <c r="AU57">
        <v>20</v>
      </c>
      <c r="AV57">
        <v>60</v>
      </c>
      <c r="AW57">
        <v>0</v>
      </c>
      <c r="AX57" t="str">
        <v>Yes</v>
      </c>
      <c r="AY57" t="str">
        <v>No</v>
      </c>
      <c r="AZ57" t="str">
        <v>Divya R</v>
      </c>
    </row>
    <row r="58" spans="3:52" x14ac:dyDescent="0.35">
      <c r="C58" s="5" t="str">
        <v>E1106</v>
      </c>
      <c r="D58" t="str">
        <v>Vijay R</v>
      </c>
      <c r="E58" t="str">
        <v>Male</v>
      </c>
      <c r="F58" t="str">
        <v>Finance</v>
      </c>
      <c r="G58" t="str">
        <v>Manager</v>
      </c>
      <c r="H58" t="str">
        <v>Chennai</v>
      </c>
      <c r="I58">
        <v>43646</v>
      </c>
      <c r="J58">
        <v>36895</v>
      </c>
      <c r="K58">
        <v>95683</v>
      </c>
      <c r="L58">
        <v>17649</v>
      </c>
      <c r="M58">
        <v>8527</v>
      </c>
      <c r="N58">
        <v>121859</v>
      </c>
      <c r="O58">
        <v>1462308</v>
      </c>
      <c r="P58">
        <v>8.9117189051346635E-2</v>
      </c>
      <c r="Q58">
        <v>16</v>
      </c>
      <c r="R58">
        <v>89</v>
      </c>
      <c r="S58">
        <v>1</v>
      </c>
      <c r="T58">
        <v>16</v>
      </c>
      <c r="U58">
        <v>13</v>
      </c>
      <c r="V58">
        <v>81</v>
      </c>
      <c r="W58">
        <v>0</v>
      </c>
      <c r="X58" t="str">
        <v>No</v>
      </c>
      <c r="Y58" t="str">
        <v>No</v>
      </c>
      <c r="Z58" t="str">
        <v>Ravi Kumar</v>
      </c>
      <c r="AC58" t="str">
        <v>E1106</v>
      </c>
      <c r="AD58" t="str">
        <v>Vijay R</v>
      </c>
      <c r="AE58" t="str">
        <v>Male</v>
      </c>
      <c r="AF58" t="str">
        <v>Finance</v>
      </c>
      <c r="AG58" t="str">
        <v>Manager</v>
      </c>
      <c r="AH58" t="str">
        <v>Chennai</v>
      </c>
      <c r="AI58">
        <v>43646</v>
      </c>
      <c r="AJ58">
        <v>36895</v>
      </c>
      <c r="AK58">
        <v>95683</v>
      </c>
      <c r="AL58">
        <v>17649</v>
      </c>
      <c r="AM58">
        <v>8527</v>
      </c>
      <c r="AN58">
        <v>121859</v>
      </c>
      <c r="AO58">
        <v>1462308</v>
      </c>
      <c r="AP58">
        <v>8.9117189051346635E-2</v>
      </c>
      <c r="AQ58">
        <v>16</v>
      </c>
      <c r="AR58">
        <v>89</v>
      </c>
      <c r="AS58">
        <v>1</v>
      </c>
      <c r="AT58">
        <v>16</v>
      </c>
      <c r="AU58">
        <v>13</v>
      </c>
      <c r="AV58">
        <v>81</v>
      </c>
      <c r="AW58">
        <v>0</v>
      </c>
      <c r="AX58" t="str">
        <v>No</v>
      </c>
      <c r="AY58" t="str">
        <v>No</v>
      </c>
      <c r="AZ58" t="str">
        <v>Ravi Kumar</v>
      </c>
    </row>
    <row r="59" spans="3:52" x14ac:dyDescent="0.35">
      <c r="C59" s="5" t="str">
        <v>E1111</v>
      </c>
      <c r="D59" t="str">
        <v>Divya V</v>
      </c>
      <c r="E59" t="str">
        <v>Male</v>
      </c>
      <c r="F59" t="str">
        <v>Marketing</v>
      </c>
      <c r="G59" t="str">
        <v>Analyst</v>
      </c>
      <c r="H59" t="str">
        <v>Madurai</v>
      </c>
      <c r="I59">
        <v>45642</v>
      </c>
      <c r="J59">
        <v>34640</v>
      </c>
      <c r="K59">
        <v>92587</v>
      </c>
      <c r="L59">
        <v>6144</v>
      </c>
      <c r="M59">
        <v>10987</v>
      </c>
      <c r="N59">
        <v>109718</v>
      </c>
      <c r="O59">
        <v>1316616</v>
      </c>
      <c r="P59">
        <v>0.11866676747275536</v>
      </c>
      <c r="Q59">
        <v>20</v>
      </c>
      <c r="R59">
        <v>92</v>
      </c>
      <c r="S59">
        <v>4</v>
      </c>
      <c r="T59">
        <v>39</v>
      </c>
      <c r="U59">
        <v>6</v>
      </c>
      <c r="V59">
        <v>84</v>
      </c>
      <c r="W59">
        <v>0</v>
      </c>
      <c r="X59" t="str">
        <v>Yes</v>
      </c>
      <c r="Y59" t="str">
        <v>No</v>
      </c>
      <c r="Z59" t="str">
        <v>Manoj P</v>
      </c>
      <c r="AC59" t="str">
        <v>E1111</v>
      </c>
      <c r="AD59" t="str">
        <v>Divya V</v>
      </c>
      <c r="AE59" t="str">
        <v>Male</v>
      </c>
      <c r="AF59" t="str">
        <v>Marketing</v>
      </c>
      <c r="AG59" t="str">
        <v>Analyst</v>
      </c>
      <c r="AH59" t="str">
        <v>Madurai</v>
      </c>
      <c r="AI59">
        <v>45642</v>
      </c>
      <c r="AJ59">
        <v>34640</v>
      </c>
      <c r="AK59">
        <v>92587</v>
      </c>
      <c r="AL59">
        <v>6144</v>
      </c>
      <c r="AM59">
        <v>10987</v>
      </c>
      <c r="AN59">
        <v>109718</v>
      </c>
      <c r="AO59">
        <v>1316616</v>
      </c>
      <c r="AP59">
        <v>0.11866676747275536</v>
      </c>
      <c r="AQ59">
        <v>20</v>
      </c>
      <c r="AR59">
        <v>92</v>
      </c>
      <c r="AS59">
        <v>4</v>
      </c>
      <c r="AT59">
        <v>39</v>
      </c>
      <c r="AU59">
        <v>6</v>
      </c>
      <c r="AV59">
        <v>84</v>
      </c>
      <c r="AW59">
        <v>0</v>
      </c>
      <c r="AX59" t="str">
        <v>Yes</v>
      </c>
      <c r="AY59" t="str">
        <v>No</v>
      </c>
      <c r="AZ59" t="str">
        <v>Manoj P</v>
      </c>
    </row>
    <row r="60" spans="3:52" x14ac:dyDescent="0.35">
      <c r="C60" s="5" t="str">
        <v>E1115</v>
      </c>
      <c r="D60" t="str">
        <v>Ravi S</v>
      </c>
      <c r="E60" t="str">
        <v>Male</v>
      </c>
      <c r="F60" t="str">
        <v>Sales</v>
      </c>
      <c r="G60" t="str">
        <v>Team Lead</v>
      </c>
      <c r="H60" t="str">
        <v>Hyderabad</v>
      </c>
      <c r="I60">
        <v>43048</v>
      </c>
      <c r="J60">
        <v>38121</v>
      </c>
      <c r="K60">
        <v>92650</v>
      </c>
      <c r="L60">
        <v>8852</v>
      </c>
      <c r="M60">
        <v>5168</v>
      </c>
      <c r="N60">
        <v>106670</v>
      </c>
      <c r="O60">
        <v>1280040</v>
      </c>
      <c r="P60">
        <v>5.5779816513761467E-2</v>
      </c>
      <c r="Q60">
        <v>12</v>
      </c>
      <c r="R60">
        <v>96</v>
      </c>
      <c r="S60">
        <v>2</v>
      </c>
      <c r="T60">
        <v>6</v>
      </c>
      <c r="U60">
        <v>23</v>
      </c>
      <c r="V60">
        <v>99</v>
      </c>
      <c r="W60">
        <v>0</v>
      </c>
      <c r="X60" t="str">
        <v>No</v>
      </c>
      <c r="Y60" t="str">
        <v>No</v>
      </c>
      <c r="Z60" t="str">
        <v>Priya M</v>
      </c>
      <c r="AC60" t="str">
        <v>E1115</v>
      </c>
      <c r="AD60" t="str">
        <v>Ravi S</v>
      </c>
      <c r="AE60" t="str">
        <v>Male</v>
      </c>
      <c r="AF60" t="str">
        <v>Sales</v>
      </c>
      <c r="AG60" t="str">
        <v>Team Lead</v>
      </c>
      <c r="AH60" t="str">
        <v>Hyderabad</v>
      </c>
      <c r="AI60">
        <v>43048</v>
      </c>
      <c r="AJ60">
        <v>38121</v>
      </c>
      <c r="AK60">
        <v>92650</v>
      </c>
      <c r="AL60">
        <v>8852</v>
      </c>
      <c r="AM60">
        <v>5168</v>
      </c>
      <c r="AN60">
        <v>106670</v>
      </c>
      <c r="AO60">
        <v>1280040</v>
      </c>
      <c r="AP60">
        <v>5.5779816513761467E-2</v>
      </c>
      <c r="AQ60">
        <v>12</v>
      </c>
      <c r="AR60">
        <v>96</v>
      </c>
      <c r="AS60">
        <v>2</v>
      </c>
      <c r="AT60">
        <v>6</v>
      </c>
      <c r="AU60">
        <v>23</v>
      </c>
      <c r="AV60">
        <v>99</v>
      </c>
      <c r="AW60">
        <v>0</v>
      </c>
      <c r="AX60" t="str">
        <v>No</v>
      </c>
      <c r="AY60" t="str">
        <v>No</v>
      </c>
      <c r="AZ60" t="str">
        <v>Priya M</v>
      </c>
    </row>
    <row r="61" spans="3:52" x14ac:dyDescent="0.35">
      <c r="C61" s="5" t="str">
        <v>E1119</v>
      </c>
      <c r="D61" t="str">
        <v>Asha P</v>
      </c>
      <c r="E61" t="str">
        <v>Female</v>
      </c>
      <c r="F61" t="str">
        <v>Operations</v>
      </c>
      <c r="G61" t="str">
        <v>Team Lead</v>
      </c>
      <c r="H61" t="str">
        <v>Mumbai</v>
      </c>
      <c r="I61">
        <v>42079</v>
      </c>
      <c r="J61">
        <v>34399</v>
      </c>
      <c r="K61">
        <v>72647</v>
      </c>
      <c r="L61">
        <v>6940</v>
      </c>
      <c r="M61">
        <v>8400</v>
      </c>
      <c r="N61">
        <v>87987</v>
      </c>
      <c r="O61">
        <v>1055844</v>
      </c>
      <c r="P61">
        <v>0.11562762398997894</v>
      </c>
      <c r="Q61">
        <v>9</v>
      </c>
      <c r="R61">
        <v>97</v>
      </c>
      <c r="S61">
        <v>3</v>
      </c>
      <c r="T61">
        <v>16</v>
      </c>
      <c r="U61">
        <v>0</v>
      </c>
      <c r="V61">
        <v>76</v>
      </c>
      <c r="W61">
        <v>0</v>
      </c>
      <c r="X61" t="str">
        <v>Yes</v>
      </c>
      <c r="Y61" t="str">
        <v>No</v>
      </c>
      <c r="Z61" t="str">
        <v>Lakshmi S</v>
      </c>
      <c r="AC61" t="str">
        <v>E1119</v>
      </c>
      <c r="AD61" t="str">
        <v>Asha P</v>
      </c>
      <c r="AE61" t="str">
        <v>Female</v>
      </c>
      <c r="AF61" t="str">
        <v>Operations</v>
      </c>
      <c r="AG61" t="str">
        <v>Team Lead</v>
      </c>
      <c r="AH61" t="str">
        <v>Mumbai</v>
      </c>
      <c r="AI61">
        <v>42079</v>
      </c>
      <c r="AJ61">
        <v>34399</v>
      </c>
      <c r="AK61">
        <v>72647</v>
      </c>
      <c r="AL61">
        <v>6940</v>
      </c>
      <c r="AM61">
        <v>8400</v>
      </c>
      <c r="AN61">
        <v>87987</v>
      </c>
      <c r="AO61">
        <v>1055844</v>
      </c>
      <c r="AP61">
        <v>0.11562762398997894</v>
      </c>
      <c r="AQ61">
        <v>9</v>
      </c>
      <c r="AR61">
        <v>97</v>
      </c>
      <c r="AS61">
        <v>3</v>
      </c>
      <c r="AT61">
        <v>16</v>
      </c>
      <c r="AU61">
        <v>0</v>
      </c>
      <c r="AV61">
        <v>76</v>
      </c>
      <c r="AW61">
        <v>0</v>
      </c>
      <c r="AX61" t="str">
        <v>Yes</v>
      </c>
      <c r="AY61" t="str">
        <v>No</v>
      </c>
      <c r="AZ61" t="str">
        <v>Lakshmi S</v>
      </c>
    </row>
    <row r="62" spans="3:52" x14ac:dyDescent="0.35">
      <c r="C62" s="5" t="str">
        <v>E1121</v>
      </c>
      <c r="D62" t="str">
        <v>Lakshmi V</v>
      </c>
      <c r="E62" t="str">
        <v>Female</v>
      </c>
      <c r="F62" t="str">
        <v>Marketing</v>
      </c>
      <c r="G62" t="str">
        <v>Executive</v>
      </c>
      <c r="H62" t="str">
        <v>Hyderabad</v>
      </c>
      <c r="I62">
        <v>43311</v>
      </c>
      <c r="J62">
        <v>37777</v>
      </c>
      <c r="K62">
        <v>61014</v>
      </c>
      <c r="L62">
        <v>17226</v>
      </c>
      <c r="M62">
        <v>13447</v>
      </c>
      <c r="N62">
        <v>91687</v>
      </c>
      <c r="O62">
        <v>1100244</v>
      </c>
      <c r="P62">
        <v>0.22039204117087882</v>
      </c>
      <c r="Q62">
        <v>13</v>
      </c>
      <c r="R62">
        <v>86</v>
      </c>
      <c r="S62">
        <v>5</v>
      </c>
      <c r="T62">
        <v>20</v>
      </c>
      <c r="U62">
        <v>19</v>
      </c>
      <c r="V62">
        <v>89</v>
      </c>
      <c r="W62">
        <v>0</v>
      </c>
      <c r="X62" t="str">
        <v>Yes</v>
      </c>
      <c r="Y62" t="str">
        <v>No</v>
      </c>
      <c r="Z62" t="str">
        <v>Priya M</v>
      </c>
      <c r="AC62" t="str">
        <v>E1121</v>
      </c>
      <c r="AD62" t="str">
        <v>Lakshmi V</v>
      </c>
      <c r="AE62" t="str">
        <v>Female</v>
      </c>
      <c r="AF62" t="str">
        <v>Marketing</v>
      </c>
      <c r="AG62" t="str">
        <v>Executive</v>
      </c>
      <c r="AH62" t="str">
        <v>Hyderabad</v>
      </c>
      <c r="AI62">
        <v>43311</v>
      </c>
      <c r="AJ62">
        <v>37777</v>
      </c>
      <c r="AK62">
        <v>61014</v>
      </c>
      <c r="AL62">
        <v>17226</v>
      </c>
      <c r="AM62">
        <v>13447</v>
      </c>
      <c r="AN62">
        <v>91687</v>
      </c>
      <c r="AO62">
        <v>1100244</v>
      </c>
      <c r="AP62">
        <v>0.22039204117087882</v>
      </c>
      <c r="AQ62">
        <v>13</v>
      </c>
      <c r="AR62">
        <v>86</v>
      </c>
      <c r="AS62">
        <v>5</v>
      </c>
      <c r="AT62">
        <v>20</v>
      </c>
      <c r="AU62">
        <v>19</v>
      </c>
      <c r="AV62">
        <v>89</v>
      </c>
      <c r="AW62">
        <v>0</v>
      </c>
      <c r="AX62" t="str">
        <v>Yes</v>
      </c>
      <c r="AY62" t="str">
        <v>No</v>
      </c>
      <c r="AZ62" t="str">
        <v>Priya M</v>
      </c>
    </row>
    <row r="63" spans="3:52" x14ac:dyDescent="0.35">
      <c r="C63" s="5" t="str">
        <v>E1124</v>
      </c>
      <c r="D63" t="str">
        <v>Suresh R</v>
      </c>
      <c r="E63" t="str">
        <v>Male</v>
      </c>
      <c r="F63" t="str">
        <v>Marketing</v>
      </c>
      <c r="G63" t="str">
        <v>Senior Analyst</v>
      </c>
      <c r="H63" t="str">
        <v>Madurai</v>
      </c>
      <c r="I63">
        <v>43950</v>
      </c>
      <c r="J63">
        <v>30582</v>
      </c>
      <c r="K63">
        <v>71867</v>
      </c>
      <c r="L63">
        <v>15788</v>
      </c>
      <c r="M63">
        <v>1286</v>
      </c>
      <c r="N63">
        <v>88941</v>
      </c>
      <c r="O63">
        <v>1067292</v>
      </c>
      <c r="P63">
        <v>1.7894165611476755E-2</v>
      </c>
      <c r="Q63">
        <v>1</v>
      </c>
      <c r="R63">
        <v>95</v>
      </c>
      <c r="S63">
        <v>5</v>
      </c>
      <c r="T63">
        <v>41</v>
      </c>
      <c r="U63">
        <v>15</v>
      </c>
      <c r="V63">
        <v>90</v>
      </c>
      <c r="W63">
        <v>0</v>
      </c>
      <c r="X63" t="str">
        <v>Yes</v>
      </c>
      <c r="Y63" t="str">
        <v>Yes</v>
      </c>
      <c r="Z63" t="str">
        <v>Karthik V</v>
      </c>
      <c r="AC63" t="str">
        <v>E1124</v>
      </c>
      <c r="AD63" t="str">
        <v>Suresh R</v>
      </c>
      <c r="AE63" t="str">
        <v>Male</v>
      </c>
      <c r="AF63" t="str">
        <v>Marketing</v>
      </c>
      <c r="AG63" t="str">
        <v>Senior Analyst</v>
      </c>
      <c r="AH63" t="str">
        <v>Madurai</v>
      </c>
      <c r="AI63">
        <v>43950</v>
      </c>
      <c r="AJ63">
        <v>30582</v>
      </c>
      <c r="AK63">
        <v>71867</v>
      </c>
      <c r="AL63">
        <v>15788</v>
      </c>
      <c r="AM63">
        <v>1286</v>
      </c>
      <c r="AN63">
        <v>88941</v>
      </c>
      <c r="AO63">
        <v>1067292</v>
      </c>
      <c r="AP63">
        <v>1.7894165611476755E-2</v>
      </c>
      <c r="AQ63">
        <v>1</v>
      </c>
      <c r="AR63">
        <v>95</v>
      </c>
      <c r="AS63">
        <v>5</v>
      </c>
      <c r="AT63">
        <v>41</v>
      </c>
      <c r="AU63">
        <v>15</v>
      </c>
      <c r="AV63">
        <v>90</v>
      </c>
      <c r="AW63">
        <v>0</v>
      </c>
      <c r="AX63" t="str">
        <v>Yes</v>
      </c>
      <c r="AY63" t="str">
        <v>Yes</v>
      </c>
      <c r="AZ63" t="str">
        <v>Karthik V</v>
      </c>
    </row>
    <row r="64" spans="3:52" x14ac:dyDescent="0.35">
      <c r="C64" s="5" t="str">
        <v>E1125</v>
      </c>
      <c r="D64" t="str">
        <v>Ajay P</v>
      </c>
      <c r="E64" t="str">
        <v>Male</v>
      </c>
      <c r="F64" t="str">
        <v>Operations</v>
      </c>
      <c r="G64" t="str">
        <v>Executive</v>
      </c>
      <c r="H64" t="str">
        <v>Coimbatore</v>
      </c>
      <c r="I64">
        <v>43349</v>
      </c>
      <c r="J64">
        <v>30370</v>
      </c>
      <c r="K64">
        <v>63213</v>
      </c>
      <c r="L64">
        <v>12753</v>
      </c>
      <c r="M64">
        <v>13140</v>
      </c>
      <c r="N64">
        <v>89106</v>
      </c>
      <c r="O64">
        <v>1069272</v>
      </c>
      <c r="P64">
        <v>0.20786863461629729</v>
      </c>
      <c r="Q64">
        <v>14</v>
      </c>
      <c r="R64">
        <v>93</v>
      </c>
      <c r="S64">
        <v>2</v>
      </c>
      <c r="T64">
        <v>33</v>
      </c>
      <c r="U64">
        <v>21</v>
      </c>
      <c r="V64">
        <v>61</v>
      </c>
      <c r="W64">
        <v>0</v>
      </c>
      <c r="X64" t="str">
        <v>Yes</v>
      </c>
      <c r="Y64" t="str">
        <v>No</v>
      </c>
      <c r="Z64" t="str">
        <v>Manoj P</v>
      </c>
      <c r="AC64" t="str">
        <v>E1125</v>
      </c>
      <c r="AD64" t="str">
        <v>Ajay P</v>
      </c>
      <c r="AE64" t="str">
        <v>Male</v>
      </c>
      <c r="AF64" t="str">
        <v>Operations</v>
      </c>
      <c r="AG64" t="str">
        <v>Executive</v>
      </c>
      <c r="AH64" t="str">
        <v>Coimbatore</v>
      </c>
      <c r="AI64">
        <v>43349</v>
      </c>
      <c r="AJ64">
        <v>30370</v>
      </c>
      <c r="AK64">
        <v>63213</v>
      </c>
      <c r="AL64">
        <v>12753</v>
      </c>
      <c r="AM64">
        <v>13140</v>
      </c>
      <c r="AN64">
        <v>89106</v>
      </c>
      <c r="AO64">
        <v>1069272</v>
      </c>
      <c r="AP64">
        <v>0.20786863461629729</v>
      </c>
      <c r="AQ64">
        <v>14</v>
      </c>
      <c r="AR64">
        <v>93</v>
      </c>
      <c r="AS64">
        <v>2</v>
      </c>
      <c r="AT64">
        <v>33</v>
      </c>
      <c r="AU64">
        <v>21</v>
      </c>
      <c r="AV64">
        <v>61</v>
      </c>
      <c r="AW64">
        <v>0</v>
      </c>
      <c r="AX64" t="str">
        <v>Yes</v>
      </c>
      <c r="AY64" t="str">
        <v>No</v>
      </c>
      <c r="AZ64" t="str">
        <v>Manoj P</v>
      </c>
    </row>
    <row r="65" spans="3:52" x14ac:dyDescent="0.35">
      <c r="C65" s="5" t="str">
        <v>E1127</v>
      </c>
      <c r="D65" t="str">
        <v>Divya V</v>
      </c>
      <c r="E65" t="str">
        <v>Male</v>
      </c>
      <c r="F65" t="str">
        <v>Sales</v>
      </c>
      <c r="G65" t="str">
        <v>Team Lead</v>
      </c>
      <c r="H65" t="str">
        <v>Chennai</v>
      </c>
      <c r="I65">
        <v>42302</v>
      </c>
      <c r="J65">
        <v>32339</v>
      </c>
      <c r="K65">
        <v>99459</v>
      </c>
      <c r="L65">
        <v>7797</v>
      </c>
      <c r="M65">
        <v>6689</v>
      </c>
      <c r="N65">
        <v>113945</v>
      </c>
      <c r="O65">
        <v>1367340</v>
      </c>
      <c r="P65">
        <v>6.725384329221086E-2</v>
      </c>
      <c r="Q65">
        <v>13</v>
      </c>
      <c r="R65">
        <v>82</v>
      </c>
      <c r="S65">
        <v>5</v>
      </c>
      <c r="T65">
        <v>25</v>
      </c>
      <c r="U65">
        <v>12</v>
      </c>
      <c r="V65">
        <v>98</v>
      </c>
      <c r="W65">
        <v>0</v>
      </c>
      <c r="X65" t="str">
        <v>No</v>
      </c>
      <c r="Y65" t="str">
        <v>No</v>
      </c>
      <c r="Z65" t="str">
        <v>Divya R</v>
      </c>
      <c r="AC65" t="str">
        <v>E1127</v>
      </c>
      <c r="AD65" t="str">
        <v>Divya V</v>
      </c>
      <c r="AE65" t="str">
        <v>Male</v>
      </c>
      <c r="AF65" t="str">
        <v>Sales</v>
      </c>
      <c r="AG65" t="str">
        <v>Team Lead</v>
      </c>
      <c r="AH65" t="str">
        <v>Chennai</v>
      </c>
      <c r="AI65">
        <v>42302</v>
      </c>
      <c r="AJ65">
        <v>32339</v>
      </c>
      <c r="AK65">
        <v>99459</v>
      </c>
      <c r="AL65">
        <v>7797</v>
      </c>
      <c r="AM65">
        <v>6689</v>
      </c>
      <c r="AN65">
        <v>113945</v>
      </c>
      <c r="AO65">
        <v>1367340</v>
      </c>
      <c r="AP65">
        <v>6.725384329221086E-2</v>
      </c>
      <c r="AQ65">
        <v>13</v>
      </c>
      <c r="AR65">
        <v>82</v>
      </c>
      <c r="AS65">
        <v>5</v>
      </c>
      <c r="AT65">
        <v>25</v>
      </c>
      <c r="AU65">
        <v>12</v>
      </c>
      <c r="AV65">
        <v>98</v>
      </c>
      <c r="AW65">
        <v>0</v>
      </c>
      <c r="AX65" t="str">
        <v>No</v>
      </c>
      <c r="AY65" t="str">
        <v>No</v>
      </c>
      <c r="AZ65" t="str">
        <v>Divya R</v>
      </c>
    </row>
    <row r="66" spans="3:52" x14ac:dyDescent="0.35">
      <c r="C66" s="5" t="str">
        <v>E1128</v>
      </c>
      <c r="D66" t="str">
        <v>Vignesh V</v>
      </c>
      <c r="E66" t="str">
        <v>Female</v>
      </c>
      <c r="F66" t="str">
        <v>HR</v>
      </c>
      <c r="G66" t="str">
        <v>Team Lead</v>
      </c>
      <c r="H66" t="str">
        <v>Mumbai</v>
      </c>
      <c r="I66">
        <v>43493</v>
      </c>
      <c r="J66">
        <v>36364</v>
      </c>
      <c r="K66">
        <v>87673</v>
      </c>
      <c r="L66">
        <v>4216</v>
      </c>
      <c r="M66">
        <v>13081</v>
      </c>
      <c r="N66">
        <v>104970</v>
      </c>
      <c r="O66">
        <v>1259640</v>
      </c>
      <c r="P66">
        <v>0.14920214889418634</v>
      </c>
      <c r="Q66">
        <v>13</v>
      </c>
      <c r="R66">
        <v>95</v>
      </c>
      <c r="S66">
        <v>3</v>
      </c>
      <c r="T66">
        <v>28</v>
      </c>
      <c r="U66">
        <v>4</v>
      </c>
      <c r="V66">
        <v>95</v>
      </c>
      <c r="W66">
        <v>0</v>
      </c>
      <c r="X66" t="str">
        <v>No</v>
      </c>
      <c r="Y66" t="str">
        <v>No</v>
      </c>
      <c r="Z66" t="str">
        <v>Priya M</v>
      </c>
      <c r="AC66" t="str">
        <v>E1128</v>
      </c>
      <c r="AD66" t="str">
        <v>Vignesh V</v>
      </c>
      <c r="AE66" t="str">
        <v>Female</v>
      </c>
      <c r="AF66" t="str">
        <v>HR</v>
      </c>
      <c r="AG66" t="str">
        <v>Team Lead</v>
      </c>
      <c r="AH66" t="str">
        <v>Mumbai</v>
      </c>
      <c r="AI66">
        <v>43493</v>
      </c>
      <c r="AJ66">
        <v>36364</v>
      </c>
      <c r="AK66">
        <v>87673</v>
      </c>
      <c r="AL66">
        <v>4216</v>
      </c>
      <c r="AM66">
        <v>13081</v>
      </c>
      <c r="AN66">
        <v>104970</v>
      </c>
      <c r="AO66">
        <v>1259640</v>
      </c>
      <c r="AP66">
        <v>0.14920214889418634</v>
      </c>
      <c r="AQ66">
        <v>13</v>
      </c>
      <c r="AR66">
        <v>95</v>
      </c>
      <c r="AS66">
        <v>3</v>
      </c>
      <c r="AT66">
        <v>28</v>
      </c>
      <c r="AU66">
        <v>4</v>
      </c>
      <c r="AV66">
        <v>95</v>
      </c>
      <c r="AW66">
        <v>0</v>
      </c>
      <c r="AX66" t="str">
        <v>No</v>
      </c>
      <c r="AY66" t="str">
        <v>No</v>
      </c>
      <c r="AZ66" t="str">
        <v>Priya M</v>
      </c>
    </row>
    <row r="67" spans="3:52" x14ac:dyDescent="0.35">
      <c r="C67" s="5" t="str">
        <v>E1129</v>
      </c>
      <c r="D67" t="str">
        <v>Manoj M</v>
      </c>
      <c r="E67" t="str">
        <v>Female</v>
      </c>
      <c r="F67" t="str">
        <v>Finance</v>
      </c>
      <c r="G67" t="str">
        <v>Analyst</v>
      </c>
      <c r="H67" t="str">
        <v>Bengaluru</v>
      </c>
      <c r="I67">
        <v>44180</v>
      </c>
      <c r="J67">
        <v>37641</v>
      </c>
      <c r="K67">
        <v>62708</v>
      </c>
      <c r="L67">
        <v>10995</v>
      </c>
      <c r="M67">
        <v>14198</v>
      </c>
      <c r="N67">
        <v>87901</v>
      </c>
      <c r="O67">
        <v>1054812</v>
      </c>
      <c r="P67">
        <v>0.22641449256873125</v>
      </c>
      <c r="Q67">
        <v>19</v>
      </c>
      <c r="R67">
        <v>83</v>
      </c>
      <c r="S67">
        <v>3</v>
      </c>
      <c r="T67">
        <v>48</v>
      </c>
      <c r="U67">
        <v>2</v>
      </c>
      <c r="V67">
        <v>87</v>
      </c>
      <c r="W67">
        <v>0</v>
      </c>
      <c r="X67" t="str">
        <v>No</v>
      </c>
      <c r="Y67" t="str">
        <v>No</v>
      </c>
      <c r="Z67" t="str">
        <v>Ravi Kumar</v>
      </c>
      <c r="AC67" t="str">
        <v>E1129</v>
      </c>
      <c r="AD67" t="str">
        <v>Manoj M</v>
      </c>
      <c r="AE67" t="str">
        <v>Female</v>
      </c>
      <c r="AF67" t="str">
        <v>Finance</v>
      </c>
      <c r="AG67" t="str">
        <v>Analyst</v>
      </c>
      <c r="AH67" t="str">
        <v>Bengaluru</v>
      </c>
      <c r="AI67">
        <v>44180</v>
      </c>
      <c r="AJ67">
        <v>37641</v>
      </c>
      <c r="AK67">
        <v>62708</v>
      </c>
      <c r="AL67">
        <v>10995</v>
      </c>
      <c r="AM67">
        <v>14198</v>
      </c>
      <c r="AN67">
        <v>87901</v>
      </c>
      <c r="AO67">
        <v>1054812</v>
      </c>
      <c r="AP67">
        <v>0.22641449256873125</v>
      </c>
      <c r="AQ67">
        <v>19</v>
      </c>
      <c r="AR67">
        <v>83</v>
      </c>
      <c r="AS67">
        <v>3</v>
      </c>
      <c r="AT67">
        <v>48</v>
      </c>
      <c r="AU67">
        <v>2</v>
      </c>
      <c r="AV67">
        <v>87</v>
      </c>
      <c r="AW67">
        <v>0</v>
      </c>
      <c r="AX67" t="str">
        <v>No</v>
      </c>
      <c r="AY67" t="str">
        <v>No</v>
      </c>
      <c r="AZ67" t="str">
        <v>Ravi Kumar</v>
      </c>
    </row>
    <row r="68" spans="3:52" x14ac:dyDescent="0.35">
      <c r="C68" s="5" t="str">
        <v>E1131</v>
      </c>
      <c r="D68" t="str">
        <v>Divya S</v>
      </c>
      <c r="E68" t="str">
        <v>Female</v>
      </c>
      <c r="F68" t="str">
        <v>HR</v>
      </c>
      <c r="G68" t="str">
        <v>Analyst</v>
      </c>
      <c r="H68" t="str">
        <v>Chennai</v>
      </c>
      <c r="I68">
        <v>42960</v>
      </c>
      <c r="J68">
        <v>29790</v>
      </c>
      <c r="K68">
        <v>69304</v>
      </c>
      <c r="L68">
        <v>15165</v>
      </c>
      <c r="M68">
        <v>3795</v>
      </c>
      <c r="N68">
        <v>88264</v>
      </c>
      <c r="O68">
        <v>1059168</v>
      </c>
      <c r="P68">
        <v>5.4758744084035554E-2</v>
      </c>
      <c r="Q68">
        <v>1</v>
      </c>
      <c r="R68">
        <v>88</v>
      </c>
      <c r="S68">
        <v>1</v>
      </c>
      <c r="T68">
        <v>24</v>
      </c>
      <c r="U68">
        <v>10</v>
      </c>
      <c r="V68">
        <v>54</v>
      </c>
      <c r="W68">
        <v>0</v>
      </c>
      <c r="X68" t="str">
        <v>No</v>
      </c>
      <c r="Y68" t="str">
        <v>No</v>
      </c>
      <c r="Z68" t="str">
        <v>Divya R</v>
      </c>
      <c r="AC68" t="str">
        <v>E1131</v>
      </c>
      <c r="AD68" t="str">
        <v>Divya S</v>
      </c>
      <c r="AE68" t="str">
        <v>Female</v>
      </c>
      <c r="AF68" t="str">
        <v>HR</v>
      </c>
      <c r="AG68" t="str">
        <v>Analyst</v>
      </c>
      <c r="AH68" t="str">
        <v>Chennai</v>
      </c>
      <c r="AI68">
        <v>42960</v>
      </c>
      <c r="AJ68">
        <v>29790</v>
      </c>
      <c r="AK68">
        <v>69304</v>
      </c>
      <c r="AL68">
        <v>15165</v>
      </c>
      <c r="AM68">
        <v>3795</v>
      </c>
      <c r="AN68">
        <v>88264</v>
      </c>
      <c r="AO68">
        <v>1059168</v>
      </c>
      <c r="AP68">
        <v>5.4758744084035554E-2</v>
      </c>
      <c r="AQ68">
        <v>1</v>
      </c>
      <c r="AR68">
        <v>88</v>
      </c>
      <c r="AS68">
        <v>1</v>
      </c>
      <c r="AT68">
        <v>24</v>
      </c>
      <c r="AU68">
        <v>10</v>
      </c>
      <c r="AV68">
        <v>54</v>
      </c>
      <c r="AW68">
        <v>0</v>
      </c>
      <c r="AX68" t="str">
        <v>No</v>
      </c>
      <c r="AY68" t="str">
        <v>No</v>
      </c>
      <c r="AZ68" t="str">
        <v>Divya R</v>
      </c>
    </row>
    <row r="69" spans="3:52" x14ac:dyDescent="0.35">
      <c r="C69" s="5" t="str">
        <v>E1132</v>
      </c>
      <c r="D69" t="str">
        <v>Karthik K</v>
      </c>
      <c r="E69" t="str">
        <v>Male</v>
      </c>
      <c r="F69" t="str">
        <v>Operations</v>
      </c>
      <c r="G69" t="str">
        <v>Manager</v>
      </c>
      <c r="H69" t="str">
        <v>Madurai</v>
      </c>
      <c r="I69">
        <v>45115</v>
      </c>
      <c r="J69">
        <v>35703</v>
      </c>
      <c r="K69">
        <v>85718</v>
      </c>
      <c r="L69">
        <v>13037</v>
      </c>
      <c r="M69">
        <v>8140</v>
      </c>
      <c r="N69">
        <v>106895</v>
      </c>
      <c r="O69">
        <v>1282740</v>
      </c>
      <c r="P69">
        <v>9.4962551622763014E-2</v>
      </c>
      <c r="Q69">
        <v>7</v>
      </c>
      <c r="R69">
        <v>82</v>
      </c>
      <c r="S69">
        <v>3</v>
      </c>
      <c r="T69">
        <v>14</v>
      </c>
      <c r="U69">
        <v>7</v>
      </c>
      <c r="V69">
        <v>89</v>
      </c>
      <c r="W69">
        <v>0</v>
      </c>
      <c r="X69" t="str">
        <v>No</v>
      </c>
      <c r="Y69" t="str">
        <v>No</v>
      </c>
      <c r="Z69" t="str">
        <v>Manoj P</v>
      </c>
      <c r="AC69" t="str">
        <v>E1132</v>
      </c>
      <c r="AD69" t="str">
        <v>Karthik K</v>
      </c>
      <c r="AE69" t="str">
        <v>Male</v>
      </c>
      <c r="AF69" t="str">
        <v>Operations</v>
      </c>
      <c r="AG69" t="str">
        <v>Manager</v>
      </c>
      <c r="AH69" t="str">
        <v>Madurai</v>
      </c>
      <c r="AI69">
        <v>45115</v>
      </c>
      <c r="AJ69">
        <v>35703</v>
      </c>
      <c r="AK69">
        <v>85718</v>
      </c>
      <c r="AL69">
        <v>13037</v>
      </c>
      <c r="AM69">
        <v>8140</v>
      </c>
      <c r="AN69">
        <v>106895</v>
      </c>
      <c r="AO69">
        <v>1282740</v>
      </c>
      <c r="AP69">
        <v>9.4962551622763014E-2</v>
      </c>
      <c r="AQ69">
        <v>7</v>
      </c>
      <c r="AR69">
        <v>82</v>
      </c>
      <c r="AS69">
        <v>3</v>
      </c>
      <c r="AT69">
        <v>14</v>
      </c>
      <c r="AU69">
        <v>7</v>
      </c>
      <c r="AV69">
        <v>89</v>
      </c>
      <c r="AW69">
        <v>0</v>
      </c>
      <c r="AX69" t="str">
        <v>No</v>
      </c>
      <c r="AY69" t="str">
        <v>No</v>
      </c>
      <c r="AZ69" t="str">
        <v>Manoj P</v>
      </c>
    </row>
    <row r="70" spans="3:52" x14ac:dyDescent="0.35">
      <c r="C70" s="5" t="str">
        <v>E1139</v>
      </c>
      <c r="D70" t="str">
        <v>Anitha V</v>
      </c>
      <c r="E70" t="str">
        <v>Female</v>
      </c>
      <c r="F70" t="str">
        <v>Marketing</v>
      </c>
      <c r="G70" t="str">
        <v>Associate</v>
      </c>
      <c r="H70" t="str">
        <v>Chennai</v>
      </c>
      <c r="I70">
        <v>44375</v>
      </c>
      <c r="J70">
        <v>29427</v>
      </c>
      <c r="K70">
        <v>53527</v>
      </c>
      <c r="L70">
        <v>16777</v>
      </c>
      <c r="M70">
        <v>10527</v>
      </c>
      <c r="N70">
        <v>80831</v>
      </c>
      <c r="O70">
        <v>969972</v>
      </c>
      <c r="P70">
        <v>0.19666710258374279</v>
      </c>
      <c r="Q70">
        <v>14</v>
      </c>
      <c r="R70">
        <v>94</v>
      </c>
      <c r="S70">
        <v>3</v>
      </c>
      <c r="T70">
        <v>3</v>
      </c>
      <c r="U70">
        <v>4</v>
      </c>
      <c r="V70">
        <v>78</v>
      </c>
      <c r="W70">
        <v>0</v>
      </c>
      <c r="X70" t="str">
        <v>Yes</v>
      </c>
      <c r="Y70" t="str">
        <v>No</v>
      </c>
      <c r="Z70" t="str">
        <v>Priya M</v>
      </c>
      <c r="AC70" t="str">
        <v>E1139</v>
      </c>
      <c r="AD70" t="str">
        <v>Anitha V</v>
      </c>
      <c r="AE70" t="str">
        <v>Female</v>
      </c>
      <c r="AF70" t="str">
        <v>Marketing</v>
      </c>
      <c r="AG70" t="str">
        <v>Associate</v>
      </c>
      <c r="AH70" t="str">
        <v>Chennai</v>
      </c>
      <c r="AI70">
        <v>44375</v>
      </c>
      <c r="AJ70">
        <v>29427</v>
      </c>
      <c r="AK70">
        <v>53527</v>
      </c>
      <c r="AL70">
        <v>16777</v>
      </c>
      <c r="AM70">
        <v>10527</v>
      </c>
      <c r="AN70">
        <v>80831</v>
      </c>
      <c r="AO70">
        <v>969972</v>
      </c>
      <c r="AP70">
        <v>0.19666710258374279</v>
      </c>
      <c r="AQ70">
        <v>14</v>
      </c>
      <c r="AR70">
        <v>94</v>
      </c>
      <c r="AS70">
        <v>3</v>
      </c>
      <c r="AT70">
        <v>3</v>
      </c>
      <c r="AU70">
        <v>4</v>
      </c>
      <c r="AV70">
        <v>78</v>
      </c>
      <c r="AW70">
        <v>0</v>
      </c>
      <c r="AX70" t="str">
        <v>Yes</v>
      </c>
      <c r="AY70" t="str">
        <v>No</v>
      </c>
      <c r="AZ70" t="str">
        <v>Priya M</v>
      </c>
    </row>
    <row r="71" spans="3:52" x14ac:dyDescent="0.35">
      <c r="C71" s="5" t="str">
        <v>E1142</v>
      </c>
      <c r="D71" t="str">
        <v>Keerthana S</v>
      </c>
      <c r="E71" t="str">
        <v>Male</v>
      </c>
      <c r="F71" t="str">
        <v>Operations</v>
      </c>
      <c r="G71" t="str">
        <v>Senior Analyst</v>
      </c>
      <c r="H71" t="str">
        <v>Madurai</v>
      </c>
      <c r="I71">
        <v>45404</v>
      </c>
      <c r="J71">
        <v>29415</v>
      </c>
      <c r="K71">
        <v>81171</v>
      </c>
      <c r="L71">
        <v>15991</v>
      </c>
      <c r="M71">
        <v>4599</v>
      </c>
      <c r="N71">
        <v>101761</v>
      </c>
      <c r="O71">
        <v>1221132</v>
      </c>
      <c r="P71">
        <v>5.6658166093801976E-2</v>
      </c>
      <c r="Q71">
        <v>10</v>
      </c>
      <c r="R71">
        <v>84</v>
      </c>
      <c r="S71">
        <v>1</v>
      </c>
      <c r="T71">
        <v>49</v>
      </c>
      <c r="U71">
        <v>11</v>
      </c>
      <c r="V71">
        <v>63</v>
      </c>
      <c r="W71">
        <v>0</v>
      </c>
      <c r="X71" t="str">
        <v>No</v>
      </c>
      <c r="Y71" t="str">
        <v>No</v>
      </c>
      <c r="Z71" t="str">
        <v>Lakshmi S</v>
      </c>
      <c r="AC71" t="str">
        <v>E1142</v>
      </c>
      <c r="AD71" t="str">
        <v>Keerthana S</v>
      </c>
      <c r="AE71" t="str">
        <v>Male</v>
      </c>
      <c r="AF71" t="str">
        <v>Operations</v>
      </c>
      <c r="AG71" t="str">
        <v>Senior Analyst</v>
      </c>
      <c r="AH71" t="str">
        <v>Madurai</v>
      </c>
      <c r="AI71">
        <v>45404</v>
      </c>
      <c r="AJ71">
        <v>29415</v>
      </c>
      <c r="AK71">
        <v>81171</v>
      </c>
      <c r="AL71">
        <v>15991</v>
      </c>
      <c r="AM71">
        <v>4599</v>
      </c>
      <c r="AN71">
        <v>101761</v>
      </c>
      <c r="AO71">
        <v>1221132</v>
      </c>
      <c r="AP71">
        <v>5.6658166093801976E-2</v>
      </c>
      <c r="AQ71">
        <v>10</v>
      </c>
      <c r="AR71">
        <v>84</v>
      </c>
      <c r="AS71">
        <v>1</v>
      </c>
      <c r="AT71">
        <v>49</v>
      </c>
      <c r="AU71">
        <v>11</v>
      </c>
      <c r="AV71">
        <v>63</v>
      </c>
      <c r="AW71">
        <v>0</v>
      </c>
      <c r="AX71" t="str">
        <v>No</v>
      </c>
      <c r="AY71" t="str">
        <v>No</v>
      </c>
      <c r="AZ71" t="str">
        <v>Lakshmi S</v>
      </c>
    </row>
    <row r="72" spans="3:52" x14ac:dyDescent="0.35">
      <c r="C72" s="5" t="str">
        <v>E1144</v>
      </c>
      <c r="D72" t="str">
        <v>Divya S</v>
      </c>
      <c r="E72" t="str">
        <v>Female</v>
      </c>
      <c r="F72" t="str">
        <v>Finance</v>
      </c>
      <c r="G72" t="str">
        <v>Senior Analyst</v>
      </c>
      <c r="H72" t="str">
        <v>Hyderabad</v>
      </c>
      <c r="I72">
        <v>43043</v>
      </c>
      <c r="J72">
        <v>34556</v>
      </c>
      <c r="K72">
        <v>61028</v>
      </c>
      <c r="L72">
        <v>13842</v>
      </c>
      <c r="M72">
        <v>3653</v>
      </c>
      <c r="N72">
        <v>78523</v>
      </c>
      <c r="O72">
        <v>942276</v>
      </c>
      <c r="P72">
        <v>5.9857770203840859E-2</v>
      </c>
      <c r="Q72">
        <v>20</v>
      </c>
      <c r="R72">
        <v>88</v>
      </c>
      <c r="S72">
        <v>2</v>
      </c>
      <c r="T72">
        <v>2</v>
      </c>
      <c r="U72">
        <v>23</v>
      </c>
      <c r="V72">
        <v>79</v>
      </c>
      <c r="W72">
        <v>0</v>
      </c>
      <c r="X72" t="str">
        <v>Yes</v>
      </c>
      <c r="Y72" t="str">
        <v>No</v>
      </c>
      <c r="Z72" t="str">
        <v>Priya M</v>
      </c>
      <c r="AC72" t="str">
        <v>E1144</v>
      </c>
      <c r="AD72" t="str">
        <v>Divya S</v>
      </c>
      <c r="AE72" t="str">
        <v>Female</v>
      </c>
      <c r="AF72" t="str">
        <v>Finance</v>
      </c>
      <c r="AG72" t="str">
        <v>Senior Analyst</v>
      </c>
      <c r="AH72" t="str">
        <v>Hyderabad</v>
      </c>
      <c r="AI72">
        <v>43043</v>
      </c>
      <c r="AJ72">
        <v>34556</v>
      </c>
      <c r="AK72">
        <v>61028</v>
      </c>
      <c r="AL72">
        <v>13842</v>
      </c>
      <c r="AM72">
        <v>3653</v>
      </c>
      <c r="AN72">
        <v>78523</v>
      </c>
      <c r="AO72">
        <v>942276</v>
      </c>
      <c r="AP72">
        <v>5.9857770203840859E-2</v>
      </c>
      <c r="AQ72">
        <v>20</v>
      </c>
      <c r="AR72">
        <v>88</v>
      </c>
      <c r="AS72">
        <v>2</v>
      </c>
      <c r="AT72">
        <v>2</v>
      </c>
      <c r="AU72">
        <v>23</v>
      </c>
      <c r="AV72">
        <v>79</v>
      </c>
      <c r="AW72">
        <v>0</v>
      </c>
      <c r="AX72" t="str">
        <v>Yes</v>
      </c>
      <c r="AY72" t="str">
        <v>No</v>
      </c>
      <c r="AZ72" t="str">
        <v>Priya M</v>
      </c>
    </row>
    <row r="73" spans="3:52" x14ac:dyDescent="0.35">
      <c r="C73" s="5" t="str">
        <v>E1145</v>
      </c>
      <c r="D73" t="str">
        <v>Vijay M</v>
      </c>
      <c r="E73" t="str">
        <v>Male</v>
      </c>
      <c r="F73" t="str">
        <v>IT</v>
      </c>
      <c r="G73" t="str">
        <v>Associate</v>
      </c>
      <c r="H73" t="str">
        <v>Madurai</v>
      </c>
      <c r="I73">
        <v>44155</v>
      </c>
      <c r="J73">
        <v>34678</v>
      </c>
      <c r="K73">
        <v>81514</v>
      </c>
      <c r="L73">
        <v>6149</v>
      </c>
      <c r="M73">
        <v>4050</v>
      </c>
      <c r="N73">
        <v>91713</v>
      </c>
      <c r="O73">
        <v>1100556</v>
      </c>
      <c r="P73">
        <v>4.9684716735775451E-2</v>
      </c>
      <c r="Q73">
        <v>18</v>
      </c>
      <c r="R73">
        <v>81</v>
      </c>
      <c r="S73">
        <v>2</v>
      </c>
      <c r="T73">
        <v>28</v>
      </c>
      <c r="U73">
        <v>15</v>
      </c>
      <c r="V73">
        <v>96</v>
      </c>
      <c r="W73">
        <v>0</v>
      </c>
      <c r="X73" t="str">
        <v>No</v>
      </c>
      <c r="Y73" t="str">
        <v>No</v>
      </c>
      <c r="Z73" t="str">
        <v>Ravi Kumar</v>
      </c>
      <c r="AC73" t="str">
        <v>E1145</v>
      </c>
      <c r="AD73" t="str">
        <v>Vijay M</v>
      </c>
      <c r="AE73" t="str">
        <v>Male</v>
      </c>
      <c r="AF73" t="str">
        <v>IT</v>
      </c>
      <c r="AG73" t="str">
        <v>Associate</v>
      </c>
      <c r="AH73" t="str">
        <v>Madurai</v>
      </c>
      <c r="AI73">
        <v>44155</v>
      </c>
      <c r="AJ73">
        <v>34678</v>
      </c>
      <c r="AK73">
        <v>81514</v>
      </c>
      <c r="AL73">
        <v>6149</v>
      </c>
      <c r="AM73">
        <v>4050</v>
      </c>
      <c r="AN73">
        <v>91713</v>
      </c>
      <c r="AO73">
        <v>1100556</v>
      </c>
      <c r="AP73">
        <v>4.9684716735775451E-2</v>
      </c>
      <c r="AQ73">
        <v>18</v>
      </c>
      <c r="AR73">
        <v>81</v>
      </c>
      <c r="AS73">
        <v>2</v>
      </c>
      <c r="AT73">
        <v>28</v>
      </c>
      <c r="AU73">
        <v>15</v>
      </c>
      <c r="AV73">
        <v>96</v>
      </c>
      <c r="AW73">
        <v>0</v>
      </c>
      <c r="AX73" t="str">
        <v>No</v>
      </c>
      <c r="AY73" t="str">
        <v>No</v>
      </c>
      <c r="AZ73" t="str">
        <v>Ravi Kumar</v>
      </c>
    </row>
    <row r="74" spans="3:52" x14ac:dyDescent="0.35">
      <c r="C74" s="5" t="str">
        <v>E1147</v>
      </c>
      <c r="D74" t="str">
        <v>Divya P</v>
      </c>
      <c r="E74" t="str">
        <v>Female</v>
      </c>
      <c r="F74" t="str">
        <v>IT</v>
      </c>
      <c r="G74" t="str">
        <v>Senior Analyst</v>
      </c>
      <c r="H74" t="str">
        <v>Madurai</v>
      </c>
      <c r="I74">
        <v>42694</v>
      </c>
      <c r="J74">
        <v>32904</v>
      </c>
      <c r="K74">
        <v>83779</v>
      </c>
      <c r="L74">
        <v>9902</v>
      </c>
      <c r="M74">
        <v>8877</v>
      </c>
      <c r="N74">
        <v>102558</v>
      </c>
      <c r="O74">
        <v>1230696</v>
      </c>
      <c r="P74">
        <v>0.10595734014490504</v>
      </c>
      <c r="Q74">
        <v>7</v>
      </c>
      <c r="R74">
        <v>97</v>
      </c>
      <c r="S74">
        <v>1</v>
      </c>
      <c r="T74">
        <v>3</v>
      </c>
      <c r="U74">
        <v>15</v>
      </c>
      <c r="V74">
        <v>94</v>
      </c>
      <c r="W74">
        <v>0</v>
      </c>
      <c r="X74" t="str">
        <v>No</v>
      </c>
      <c r="Y74" t="str">
        <v>No</v>
      </c>
      <c r="Z74" t="str">
        <v>Karthik V</v>
      </c>
      <c r="AC74" t="str">
        <v>E1147</v>
      </c>
      <c r="AD74" t="str">
        <v>Divya P</v>
      </c>
      <c r="AE74" t="str">
        <v>Female</v>
      </c>
      <c r="AF74" t="str">
        <v>IT</v>
      </c>
      <c r="AG74" t="str">
        <v>Senior Analyst</v>
      </c>
      <c r="AH74" t="str">
        <v>Madurai</v>
      </c>
      <c r="AI74">
        <v>42694</v>
      </c>
      <c r="AJ74">
        <v>32904</v>
      </c>
      <c r="AK74">
        <v>83779</v>
      </c>
      <c r="AL74">
        <v>9902</v>
      </c>
      <c r="AM74">
        <v>8877</v>
      </c>
      <c r="AN74">
        <v>102558</v>
      </c>
      <c r="AO74">
        <v>1230696</v>
      </c>
      <c r="AP74">
        <v>0.10595734014490504</v>
      </c>
      <c r="AQ74">
        <v>7</v>
      </c>
      <c r="AR74">
        <v>97</v>
      </c>
      <c r="AS74">
        <v>1</v>
      </c>
      <c r="AT74">
        <v>3</v>
      </c>
      <c r="AU74">
        <v>15</v>
      </c>
      <c r="AV74">
        <v>94</v>
      </c>
      <c r="AW74">
        <v>0</v>
      </c>
      <c r="AX74" t="str">
        <v>No</v>
      </c>
      <c r="AY74" t="str">
        <v>No</v>
      </c>
      <c r="AZ74" t="str">
        <v>Karthik V</v>
      </c>
    </row>
    <row r="75" spans="3:52" x14ac:dyDescent="0.35">
      <c r="C75" s="5" t="str">
        <v>E1149</v>
      </c>
      <c r="D75" t="str">
        <v>Pooja P</v>
      </c>
      <c r="E75" t="str">
        <v>Female</v>
      </c>
      <c r="F75" t="str">
        <v>Finance</v>
      </c>
      <c r="G75" t="str">
        <v>Analyst</v>
      </c>
      <c r="H75" t="str">
        <v>Chennai</v>
      </c>
      <c r="I75">
        <v>44349</v>
      </c>
      <c r="J75">
        <v>34733</v>
      </c>
      <c r="K75">
        <v>84558</v>
      </c>
      <c r="L75">
        <v>4608</v>
      </c>
      <c r="M75">
        <v>4498</v>
      </c>
      <c r="N75">
        <v>93664</v>
      </c>
      <c r="O75">
        <v>1123968</v>
      </c>
      <c r="P75">
        <v>5.3194257196243995E-2</v>
      </c>
      <c r="Q75">
        <v>10</v>
      </c>
      <c r="R75">
        <v>90</v>
      </c>
      <c r="S75">
        <v>2</v>
      </c>
      <c r="T75">
        <v>16</v>
      </c>
      <c r="U75">
        <v>18</v>
      </c>
      <c r="V75">
        <v>57</v>
      </c>
      <c r="W75">
        <v>0</v>
      </c>
      <c r="X75" t="str">
        <v>No</v>
      </c>
      <c r="Y75" t="str">
        <v>No</v>
      </c>
      <c r="Z75" t="str">
        <v>Priya M</v>
      </c>
      <c r="AC75" t="str">
        <v>E1149</v>
      </c>
      <c r="AD75" t="str">
        <v>Pooja P</v>
      </c>
      <c r="AE75" t="str">
        <v>Female</v>
      </c>
      <c r="AF75" t="str">
        <v>Finance</v>
      </c>
      <c r="AG75" t="str">
        <v>Analyst</v>
      </c>
      <c r="AH75" t="str">
        <v>Chennai</v>
      </c>
      <c r="AI75">
        <v>44349</v>
      </c>
      <c r="AJ75">
        <v>34733</v>
      </c>
      <c r="AK75">
        <v>84558</v>
      </c>
      <c r="AL75">
        <v>4608</v>
      </c>
      <c r="AM75">
        <v>4498</v>
      </c>
      <c r="AN75">
        <v>93664</v>
      </c>
      <c r="AO75">
        <v>1123968</v>
      </c>
      <c r="AP75">
        <v>5.3194257196243995E-2</v>
      </c>
      <c r="AQ75">
        <v>10</v>
      </c>
      <c r="AR75">
        <v>90</v>
      </c>
      <c r="AS75">
        <v>2</v>
      </c>
      <c r="AT75">
        <v>16</v>
      </c>
      <c r="AU75">
        <v>18</v>
      </c>
      <c r="AV75">
        <v>57</v>
      </c>
      <c r="AW75">
        <v>0</v>
      </c>
      <c r="AX75" t="str">
        <v>No</v>
      </c>
      <c r="AY75" t="str">
        <v>No</v>
      </c>
      <c r="AZ75" t="str">
        <v>Priya M</v>
      </c>
    </row>
    <row r="76" spans="3:52" x14ac:dyDescent="0.35">
      <c r="C76" s="5" t="str">
        <v>E1152</v>
      </c>
      <c r="D76" t="str">
        <v>Pooja R</v>
      </c>
      <c r="E76" t="str">
        <v>Male</v>
      </c>
      <c r="F76" t="str">
        <v>HR</v>
      </c>
      <c r="G76" t="str">
        <v>Executive</v>
      </c>
      <c r="H76" t="str">
        <v>Mumbai</v>
      </c>
      <c r="I76">
        <v>42977</v>
      </c>
      <c r="J76">
        <v>35972</v>
      </c>
      <c r="K76">
        <v>91819</v>
      </c>
      <c r="L76">
        <v>15739</v>
      </c>
      <c r="M76">
        <v>5865</v>
      </c>
      <c r="N76">
        <v>113423</v>
      </c>
      <c r="O76">
        <v>1361076</v>
      </c>
      <c r="P76">
        <v>6.3875668434637711E-2</v>
      </c>
      <c r="Q76">
        <v>19</v>
      </c>
      <c r="R76">
        <v>98</v>
      </c>
      <c r="S76">
        <v>2</v>
      </c>
      <c r="T76">
        <v>2</v>
      </c>
      <c r="U76">
        <v>5</v>
      </c>
      <c r="V76">
        <v>56</v>
      </c>
      <c r="W76">
        <v>0</v>
      </c>
      <c r="X76" t="str">
        <v>No</v>
      </c>
      <c r="Y76" t="str">
        <v>No</v>
      </c>
      <c r="Z76" t="str">
        <v>Lakshmi S</v>
      </c>
      <c r="AC76" t="str">
        <v>E1152</v>
      </c>
      <c r="AD76" t="str">
        <v>Pooja R</v>
      </c>
      <c r="AE76" t="str">
        <v>Male</v>
      </c>
      <c r="AF76" t="str">
        <v>HR</v>
      </c>
      <c r="AG76" t="str">
        <v>Executive</v>
      </c>
      <c r="AH76" t="str">
        <v>Mumbai</v>
      </c>
      <c r="AI76">
        <v>42977</v>
      </c>
      <c r="AJ76">
        <v>35972</v>
      </c>
      <c r="AK76">
        <v>91819</v>
      </c>
      <c r="AL76">
        <v>15739</v>
      </c>
      <c r="AM76">
        <v>5865</v>
      </c>
      <c r="AN76">
        <v>113423</v>
      </c>
      <c r="AO76">
        <v>1361076</v>
      </c>
      <c r="AP76">
        <v>6.3875668434637711E-2</v>
      </c>
      <c r="AQ76">
        <v>19</v>
      </c>
      <c r="AR76">
        <v>98</v>
      </c>
      <c r="AS76">
        <v>2</v>
      </c>
      <c r="AT76">
        <v>2</v>
      </c>
      <c r="AU76">
        <v>5</v>
      </c>
      <c r="AV76">
        <v>56</v>
      </c>
      <c r="AW76">
        <v>0</v>
      </c>
      <c r="AX76" t="str">
        <v>No</v>
      </c>
      <c r="AY76" t="str">
        <v>No</v>
      </c>
      <c r="AZ76" t="str">
        <v>Lakshmi S</v>
      </c>
    </row>
    <row r="77" spans="3:52" x14ac:dyDescent="0.35">
      <c r="C77" s="5" t="str">
        <v>E1155</v>
      </c>
      <c r="D77" t="str">
        <v>Lakshmi V</v>
      </c>
      <c r="E77" t="str">
        <v>Male</v>
      </c>
      <c r="F77" t="str">
        <v>IT</v>
      </c>
      <c r="G77" t="str">
        <v>Manager</v>
      </c>
      <c r="H77" t="str">
        <v>Hyderabad</v>
      </c>
      <c r="I77">
        <v>44068</v>
      </c>
      <c r="J77">
        <v>38219</v>
      </c>
      <c r="K77">
        <v>96415</v>
      </c>
      <c r="L77">
        <v>16561</v>
      </c>
      <c r="M77">
        <v>4907</v>
      </c>
      <c r="N77">
        <v>117883</v>
      </c>
      <c r="O77">
        <v>1414596</v>
      </c>
      <c r="P77">
        <v>5.0894570346937715E-2</v>
      </c>
      <c r="Q77">
        <v>13</v>
      </c>
      <c r="R77">
        <v>89</v>
      </c>
      <c r="S77">
        <v>3</v>
      </c>
      <c r="T77">
        <v>18</v>
      </c>
      <c r="U77">
        <v>12</v>
      </c>
      <c r="V77">
        <v>71</v>
      </c>
      <c r="W77">
        <v>0</v>
      </c>
      <c r="X77" t="str">
        <v>Yes</v>
      </c>
      <c r="Y77" t="str">
        <v>No</v>
      </c>
      <c r="Z77" t="str">
        <v>Priya M</v>
      </c>
      <c r="AC77" t="str">
        <v>E1155</v>
      </c>
      <c r="AD77" t="str">
        <v>Lakshmi V</v>
      </c>
      <c r="AE77" t="str">
        <v>Male</v>
      </c>
      <c r="AF77" t="str">
        <v>IT</v>
      </c>
      <c r="AG77" t="str">
        <v>Manager</v>
      </c>
      <c r="AH77" t="str">
        <v>Hyderabad</v>
      </c>
      <c r="AI77">
        <v>44068</v>
      </c>
      <c r="AJ77">
        <v>38219</v>
      </c>
      <c r="AK77">
        <v>96415</v>
      </c>
      <c r="AL77">
        <v>16561</v>
      </c>
      <c r="AM77">
        <v>4907</v>
      </c>
      <c r="AN77">
        <v>117883</v>
      </c>
      <c r="AO77">
        <v>1414596</v>
      </c>
      <c r="AP77">
        <v>5.0894570346937715E-2</v>
      </c>
      <c r="AQ77">
        <v>13</v>
      </c>
      <c r="AR77">
        <v>89</v>
      </c>
      <c r="AS77">
        <v>3</v>
      </c>
      <c r="AT77">
        <v>18</v>
      </c>
      <c r="AU77">
        <v>12</v>
      </c>
      <c r="AV77">
        <v>71</v>
      </c>
      <c r="AW77">
        <v>0</v>
      </c>
      <c r="AX77" t="str">
        <v>Yes</v>
      </c>
      <c r="AY77" t="str">
        <v>No</v>
      </c>
      <c r="AZ77" t="str">
        <v>Priya M</v>
      </c>
    </row>
    <row r="78" spans="3:52" x14ac:dyDescent="0.35">
      <c r="C78" s="5" t="str">
        <v>E1162</v>
      </c>
      <c r="D78" t="str">
        <v>Meena K</v>
      </c>
      <c r="E78" t="str">
        <v>Male</v>
      </c>
      <c r="F78" t="str">
        <v>Operations</v>
      </c>
      <c r="G78" t="str">
        <v>Senior Analyst</v>
      </c>
      <c r="H78" t="str">
        <v>Hyderabad</v>
      </c>
      <c r="I78">
        <v>44055</v>
      </c>
      <c r="J78">
        <v>35321</v>
      </c>
      <c r="K78">
        <v>84291</v>
      </c>
      <c r="L78">
        <v>4933</v>
      </c>
      <c r="M78">
        <v>14003</v>
      </c>
      <c r="N78">
        <v>103227</v>
      </c>
      <c r="O78">
        <v>1238724</v>
      </c>
      <c r="P78">
        <v>0.16612687000984683</v>
      </c>
      <c r="Q78">
        <v>18</v>
      </c>
      <c r="R78">
        <v>99</v>
      </c>
      <c r="S78">
        <v>4</v>
      </c>
      <c r="T78">
        <v>53</v>
      </c>
      <c r="U78">
        <v>8</v>
      </c>
      <c r="V78">
        <v>82</v>
      </c>
      <c r="W78">
        <v>0</v>
      </c>
      <c r="X78" t="str">
        <v>No</v>
      </c>
      <c r="Y78" t="str">
        <v>Yes</v>
      </c>
      <c r="Z78" t="str">
        <v>Ravi Kumar</v>
      </c>
      <c r="AC78" t="str">
        <v>E1162</v>
      </c>
      <c r="AD78" t="str">
        <v>Meena K</v>
      </c>
      <c r="AE78" t="str">
        <v>Male</v>
      </c>
      <c r="AF78" t="str">
        <v>Operations</v>
      </c>
      <c r="AG78" t="str">
        <v>Senior Analyst</v>
      </c>
      <c r="AH78" t="str">
        <v>Hyderabad</v>
      </c>
      <c r="AI78">
        <v>44055</v>
      </c>
      <c r="AJ78">
        <v>35321</v>
      </c>
      <c r="AK78">
        <v>84291</v>
      </c>
      <c r="AL78">
        <v>4933</v>
      </c>
      <c r="AM78">
        <v>14003</v>
      </c>
      <c r="AN78">
        <v>103227</v>
      </c>
      <c r="AO78">
        <v>1238724</v>
      </c>
      <c r="AP78">
        <v>0.16612687000984683</v>
      </c>
      <c r="AQ78">
        <v>18</v>
      </c>
      <c r="AR78">
        <v>99</v>
      </c>
      <c r="AS78">
        <v>4</v>
      </c>
      <c r="AT78">
        <v>53</v>
      </c>
      <c r="AU78">
        <v>8</v>
      </c>
      <c r="AV78">
        <v>82</v>
      </c>
      <c r="AW78">
        <v>0</v>
      </c>
      <c r="AX78" t="str">
        <v>No</v>
      </c>
      <c r="AY78" t="str">
        <v>Yes</v>
      </c>
      <c r="AZ78" t="str">
        <v>Ravi Kumar</v>
      </c>
    </row>
    <row r="79" spans="3:52" x14ac:dyDescent="0.35">
      <c r="C79" s="5" t="str">
        <v>E1163</v>
      </c>
      <c r="D79" t="str">
        <v>Priya V</v>
      </c>
      <c r="E79" t="str">
        <v>Female</v>
      </c>
      <c r="F79" t="str">
        <v>Operations</v>
      </c>
      <c r="G79" t="str">
        <v>Senior Analyst</v>
      </c>
      <c r="H79" t="str">
        <v>Bengaluru</v>
      </c>
      <c r="I79">
        <v>42199</v>
      </c>
      <c r="J79">
        <v>37581</v>
      </c>
      <c r="K79">
        <v>73743</v>
      </c>
      <c r="L79">
        <v>3508</v>
      </c>
      <c r="M79">
        <v>5569</v>
      </c>
      <c r="N79">
        <v>82820</v>
      </c>
      <c r="O79">
        <v>993840</v>
      </c>
      <c r="P79">
        <v>7.5519032314931581E-2</v>
      </c>
      <c r="Q79">
        <v>3</v>
      </c>
      <c r="R79">
        <v>93</v>
      </c>
      <c r="S79">
        <v>2</v>
      </c>
      <c r="T79">
        <v>11</v>
      </c>
      <c r="U79">
        <v>24</v>
      </c>
      <c r="V79">
        <v>77</v>
      </c>
      <c r="W79">
        <v>0</v>
      </c>
      <c r="X79" t="str">
        <v>No</v>
      </c>
      <c r="Y79" t="str">
        <v>No</v>
      </c>
      <c r="Z79" t="str">
        <v>Ravi Kumar</v>
      </c>
      <c r="AC79" t="str">
        <v>E1163</v>
      </c>
      <c r="AD79" t="str">
        <v>Priya V</v>
      </c>
      <c r="AE79" t="str">
        <v>Female</v>
      </c>
      <c r="AF79" t="str">
        <v>Operations</v>
      </c>
      <c r="AG79" t="str">
        <v>Senior Analyst</v>
      </c>
      <c r="AH79" t="str">
        <v>Bengaluru</v>
      </c>
      <c r="AI79">
        <v>42199</v>
      </c>
      <c r="AJ79">
        <v>37581</v>
      </c>
      <c r="AK79">
        <v>73743</v>
      </c>
      <c r="AL79">
        <v>3508</v>
      </c>
      <c r="AM79">
        <v>5569</v>
      </c>
      <c r="AN79">
        <v>82820</v>
      </c>
      <c r="AO79">
        <v>993840</v>
      </c>
      <c r="AP79">
        <v>7.5519032314931581E-2</v>
      </c>
      <c r="AQ79">
        <v>3</v>
      </c>
      <c r="AR79">
        <v>93</v>
      </c>
      <c r="AS79">
        <v>2</v>
      </c>
      <c r="AT79">
        <v>11</v>
      </c>
      <c r="AU79">
        <v>24</v>
      </c>
      <c r="AV79">
        <v>77</v>
      </c>
      <c r="AW79">
        <v>0</v>
      </c>
      <c r="AX79" t="str">
        <v>No</v>
      </c>
      <c r="AY79" t="str">
        <v>No</v>
      </c>
      <c r="AZ79" t="str">
        <v>Ravi Kumar</v>
      </c>
    </row>
    <row r="80" spans="3:52" x14ac:dyDescent="0.35">
      <c r="C80" s="5" t="str">
        <v>E1164</v>
      </c>
      <c r="D80" t="str">
        <v>Rahul M</v>
      </c>
      <c r="E80" t="str">
        <v>Female</v>
      </c>
      <c r="F80" t="str">
        <v>Operations</v>
      </c>
      <c r="G80" t="str">
        <v>Team Lead</v>
      </c>
      <c r="H80" t="str">
        <v>Chennai</v>
      </c>
      <c r="I80">
        <v>43250</v>
      </c>
      <c r="J80">
        <v>36762</v>
      </c>
      <c r="K80">
        <v>65830</v>
      </c>
      <c r="L80">
        <v>11098</v>
      </c>
      <c r="M80">
        <v>10631</v>
      </c>
      <c r="N80">
        <v>87559</v>
      </c>
      <c r="O80">
        <v>1050708</v>
      </c>
      <c r="P80">
        <v>0.16149172109980253</v>
      </c>
      <c r="Q80">
        <v>3</v>
      </c>
      <c r="R80">
        <v>80</v>
      </c>
      <c r="S80">
        <v>5</v>
      </c>
      <c r="T80">
        <v>21</v>
      </c>
      <c r="U80">
        <v>21</v>
      </c>
      <c r="V80">
        <v>90</v>
      </c>
      <c r="W80">
        <v>0</v>
      </c>
      <c r="X80" t="str">
        <v>Yes</v>
      </c>
      <c r="Y80" t="str">
        <v>No</v>
      </c>
      <c r="Z80" t="str">
        <v>Ravi Kumar</v>
      </c>
      <c r="AC80" t="str">
        <v>E1164</v>
      </c>
      <c r="AD80" t="str">
        <v>Rahul M</v>
      </c>
      <c r="AE80" t="str">
        <v>Female</v>
      </c>
      <c r="AF80" t="str">
        <v>Operations</v>
      </c>
      <c r="AG80" t="str">
        <v>Team Lead</v>
      </c>
      <c r="AH80" t="str">
        <v>Chennai</v>
      </c>
      <c r="AI80">
        <v>43250</v>
      </c>
      <c r="AJ80">
        <v>36762</v>
      </c>
      <c r="AK80">
        <v>65830</v>
      </c>
      <c r="AL80">
        <v>11098</v>
      </c>
      <c r="AM80">
        <v>10631</v>
      </c>
      <c r="AN80">
        <v>87559</v>
      </c>
      <c r="AO80">
        <v>1050708</v>
      </c>
      <c r="AP80">
        <v>0.16149172109980253</v>
      </c>
      <c r="AQ80">
        <v>3</v>
      </c>
      <c r="AR80">
        <v>80</v>
      </c>
      <c r="AS80">
        <v>5</v>
      </c>
      <c r="AT80">
        <v>21</v>
      </c>
      <c r="AU80">
        <v>21</v>
      </c>
      <c r="AV80">
        <v>90</v>
      </c>
      <c r="AW80">
        <v>0</v>
      </c>
      <c r="AX80" t="str">
        <v>Yes</v>
      </c>
      <c r="AY80" t="str">
        <v>No</v>
      </c>
      <c r="AZ80" t="str">
        <v>Ravi Kumar</v>
      </c>
    </row>
    <row r="81" spans="3:52" x14ac:dyDescent="0.35">
      <c r="C81" s="5" t="str">
        <v>E1167</v>
      </c>
      <c r="D81" t="str">
        <v>Meena P</v>
      </c>
      <c r="E81" t="str">
        <v>Female</v>
      </c>
      <c r="F81" t="str">
        <v>Marketing</v>
      </c>
      <c r="G81" t="str">
        <v>Executive</v>
      </c>
      <c r="H81" t="str">
        <v>Chennai</v>
      </c>
      <c r="I81">
        <v>44721</v>
      </c>
      <c r="J81">
        <v>31864</v>
      </c>
      <c r="K81">
        <v>92335</v>
      </c>
      <c r="L81">
        <v>12089</v>
      </c>
      <c r="M81">
        <v>12114</v>
      </c>
      <c r="N81">
        <v>116538</v>
      </c>
      <c r="O81">
        <v>1398456</v>
      </c>
      <c r="P81">
        <v>0.13119618779444414</v>
      </c>
      <c r="Q81">
        <v>12</v>
      </c>
      <c r="R81">
        <v>87</v>
      </c>
      <c r="S81">
        <v>5</v>
      </c>
      <c r="T81">
        <v>26</v>
      </c>
      <c r="U81">
        <v>8</v>
      </c>
      <c r="V81">
        <v>76</v>
      </c>
      <c r="W81">
        <v>0</v>
      </c>
      <c r="X81" t="str">
        <v>Yes</v>
      </c>
      <c r="Y81" t="str">
        <v>No</v>
      </c>
      <c r="Z81" t="str">
        <v>Divya R</v>
      </c>
      <c r="AC81" t="str">
        <v>E1167</v>
      </c>
      <c r="AD81" t="str">
        <v>Meena P</v>
      </c>
      <c r="AE81" t="str">
        <v>Female</v>
      </c>
      <c r="AF81" t="str">
        <v>Marketing</v>
      </c>
      <c r="AG81" t="str">
        <v>Executive</v>
      </c>
      <c r="AH81" t="str">
        <v>Chennai</v>
      </c>
      <c r="AI81">
        <v>44721</v>
      </c>
      <c r="AJ81">
        <v>31864</v>
      </c>
      <c r="AK81">
        <v>92335</v>
      </c>
      <c r="AL81">
        <v>12089</v>
      </c>
      <c r="AM81">
        <v>12114</v>
      </c>
      <c r="AN81">
        <v>116538</v>
      </c>
      <c r="AO81">
        <v>1398456</v>
      </c>
      <c r="AP81">
        <v>0.13119618779444414</v>
      </c>
      <c r="AQ81">
        <v>12</v>
      </c>
      <c r="AR81">
        <v>87</v>
      </c>
      <c r="AS81">
        <v>5</v>
      </c>
      <c r="AT81">
        <v>26</v>
      </c>
      <c r="AU81">
        <v>8</v>
      </c>
      <c r="AV81">
        <v>76</v>
      </c>
      <c r="AW81">
        <v>0</v>
      </c>
      <c r="AX81" t="str">
        <v>Yes</v>
      </c>
      <c r="AY81" t="str">
        <v>No</v>
      </c>
      <c r="AZ81" t="str">
        <v>Divya R</v>
      </c>
    </row>
    <row r="82" spans="3:52" x14ac:dyDescent="0.35">
      <c r="C82" s="5" t="str">
        <v>E1168</v>
      </c>
      <c r="D82" t="str">
        <v>Keerthana S</v>
      </c>
      <c r="E82" t="str">
        <v>Male</v>
      </c>
      <c r="F82" t="str">
        <v>Operations</v>
      </c>
      <c r="G82" t="str">
        <v>Associate</v>
      </c>
      <c r="H82" t="str">
        <v>Chennai</v>
      </c>
      <c r="I82">
        <v>44382</v>
      </c>
      <c r="J82">
        <v>34686</v>
      </c>
      <c r="K82">
        <v>57868</v>
      </c>
      <c r="L82">
        <v>16508</v>
      </c>
      <c r="M82">
        <v>7345</v>
      </c>
      <c r="N82">
        <v>81721</v>
      </c>
      <c r="O82">
        <v>980652</v>
      </c>
      <c r="P82">
        <v>0.12692679892168382</v>
      </c>
      <c r="Q82">
        <v>1</v>
      </c>
      <c r="R82">
        <v>82</v>
      </c>
      <c r="S82">
        <v>1</v>
      </c>
      <c r="T82">
        <v>36</v>
      </c>
      <c r="U82">
        <v>13</v>
      </c>
      <c r="V82">
        <v>95</v>
      </c>
      <c r="W82">
        <v>0</v>
      </c>
      <c r="X82" t="str">
        <v>Yes</v>
      </c>
      <c r="Y82" t="str">
        <v>No</v>
      </c>
      <c r="Z82" t="str">
        <v>Lakshmi S</v>
      </c>
      <c r="AC82" t="str">
        <v>E1168</v>
      </c>
      <c r="AD82" t="str">
        <v>Keerthana S</v>
      </c>
      <c r="AE82" t="str">
        <v>Male</v>
      </c>
      <c r="AF82" t="str">
        <v>Operations</v>
      </c>
      <c r="AG82" t="str">
        <v>Associate</v>
      </c>
      <c r="AH82" t="str">
        <v>Chennai</v>
      </c>
      <c r="AI82">
        <v>44382</v>
      </c>
      <c r="AJ82">
        <v>34686</v>
      </c>
      <c r="AK82">
        <v>57868</v>
      </c>
      <c r="AL82">
        <v>16508</v>
      </c>
      <c r="AM82">
        <v>7345</v>
      </c>
      <c r="AN82">
        <v>81721</v>
      </c>
      <c r="AO82">
        <v>980652</v>
      </c>
      <c r="AP82">
        <v>0.12692679892168382</v>
      </c>
      <c r="AQ82">
        <v>1</v>
      </c>
      <c r="AR82">
        <v>82</v>
      </c>
      <c r="AS82">
        <v>1</v>
      </c>
      <c r="AT82">
        <v>36</v>
      </c>
      <c r="AU82">
        <v>13</v>
      </c>
      <c r="AV82">
        <v>95</v>
      </c>
      <c r="AW82">
        <v>0</v>
      </c>
      <c r="AX82" t="str">
        <v>Yes</v>
      </c>
      <c r="AY82" t="str">
        <v>No</v>
      </c>
      <c r="AZ82" t="str">
        <v>Lakshmi S</v>
      </c>
    </row>
    <row r="83" spans="3:52" x14ac:dyDescent="0.35">
      <c r="C83" s="5" t="str">
        <v>E1170</v>
      </c>
      <c r="D83" t="str">
        <v>Vijay V</v>
      </c>
      <c r="E83" t="str">
        <v>Male</v>
      </c>
      <c r="F83" t="str">
        <v>Sales</v>
      </c>
      <c r="G83" t="str">
        <v>Executive</v>
      </c>
      <c r="H83" t="str">
        <v>Coimbatore</v>
      </c>
      <c r="I83">
        <v>44091</v>
      </c>
      <c r="J83">
        <v>34439</v>
      </c>
      <c r="K83">
        <v>67527</v>
      </c>
      <c r="L83">
        <v>14829</v>
      </c>
      <c r="M83">
        <v>4883</v>
      </c>
      <c r="N83">
        <v>87239</v>
      </c>
      <c r="O83">
        <v>1046868</v>
      </c>
      <c r="P83">
        <v>7.2311816014335006E-2</v>
      </c>
      <c r="Q83">
        <v>11</v>
      </c>
      <c r="R83">
        <v>90</v>
      </c>
      <c r="S83">
        <v>3</v>
      </c>
      <c r="T83">
        <v>18</v>
      </c>
      <c r="U83">
        <v>12</v>
      </c>
      <c r="V83">
        <v>94</v>
      </c>
      <c r="W83">
        <v>0</v>
      </c>
      <c r="X83" t="str">
        <v>No</v>
      </c>
      <c r="Y83" t="str">
        <v>No</v>
      </c>
      <c r="Z83" t="str">
        <v>Lakshmi S</v>
      </c>
      <c r="AC83" t="str">
        <v>E1170</v>
      </c>
      <c r="AD83" t="str">
        <v>Vijay V</v>
      </c>
      <c r="AE83" t="str">
        <v>Male</v>
      </c>
      <c r="AF83" t="str">
        <v>Sales</v>
      </c>
      <c r="AG83" t="str">
        <v>Executive</v>
      </c>
      <c r="AH83" t="str">
        <v>Coimbatore</v>
      </c>
      <c r="AI83">
        <v>44091</v>
      </c>
      <c r="AJ83">
        <v>34439</v>
      </c>
      <c r="AK83">
        <v>67527</v>
      </c>
      <c r="AL83">
        <v>14829</v>
      </c>
      <c r="AM83">
        <v>4883</v>
      </c>
      <c r="AN83">
        <v>87239</v>
      </c>
      <c r="AO83">
        <v>1046868</v>
      </c>
      <c r="AP83">
        <v>7.2311816014335006E-2</v>
      </c>
      <c r="AQ83">
        <v>11</v>
      </c>
      <c r="AR83">
        <v>90</v>
      </c>
      <c r="AS83">
        <v>3</v>
      </c>
      <c r="AT83">
        <v>18</v>
      </c>
      <c r="AU83">
        <v>12</v>
      </c>
      <c r="AV83">
        <v>94</v>
      </c>
      <c r="AW83">
        <v>0</v>
      </c>
      <c r="AX83" t="str">
        <v>No</v>
      </c>
      <c r="AY83" t="str">
        <v>No</v>
      </c>
      <c r="AZ83" t="str">
        <v>Lakshmi S</v>
      </c>
    </row>
    <row r="84" spans="3:52" x14ac:dyDescent="0.35">
      <c r="C84" s="5" t="str">
        <v>E1171</v>
      </c>
      <c r="D84" t="str">
        <v>Priya K</v>
      </c>
      <c r="E84" t="str">
        <v>Male</v>
      </c>
      <c r="F84" t="str">
        <v>Sales</v>
      </c>
      <c r="G84" t="str">
        <v>Associate</v>
      </c>
      <c r="H84" t="str">
        <v>Coimbatore</v>
      </c>
      <c r="I84">
        <v>44329</v>
      </c>
      <c r="J84">
        <v>29445</v>
      </c>
      <c r="K84">
        <v>96527</v>
      </c>
      <c r="L84">
        <v>14380</v>
      </c>
      <c r="M84">
        <v>2602</v>
      </c>
      <c r="N84">
        <v>113509</v>
      </c>
      <c r="O84">
        <v>1362108</v>
      </c>
      <c r="P84">
        <v>2.6956188423964279E-2</v>
      </c>
      <c r="Q84">
        <v>13</v>
      </c>
      <c r="R84">
        <v>80</v>
      </c>
      <c r="S84">
        <v>4</v>
      </c>
      <c r="T84">
        <v>21</v>
      </c>
      <c r="U84">
        <v>17</v>
      </c>
      <c r="V84">
        <v>74</v>
      </c>
      <c r="W84">
        <v>0</v>
      </c>
      <c r="X84" t="str">
        <v>Yes</v>
      </c>
      <c r="Y84" t="str">
        <v>No</v>
      </c>
      <c r="Z84" t="str">
        <v>Divya R</v>
      </c>
      <c r="AC84" t="str">
        <v>E1171</v>
      </c>
      <c r="AD84" t="str">
        <v>Priya K</v>
      </c>
      <c r="AE84" t="str">
        <v>Male</v>
      </c>
      <c r="AF84" t="str">
        <v>Sales</v>
      </c>
      <c r="AG84" t="str">
        <v>Associate</v>
      </c>
      <c r="AH84" t="str">
        <v>Coimbatore</v>
      </c>
      <c r="AI84">
        <v>44329</v>
      </c>
      <c r="AJ84">
        <v>29445</v>
      </c>
      <c r="AK84">
        <v>96527</v>
      </c>
      <c r="AL84">
        <v>14380</v>
      </c>
      <c r="AM84">
        <v>2602</v>
      </c>
      <c r="AN84">
        <v>113509</v>
      </c>
      <c r="AO84">
        <v>1362108</v>
      </c>
      <c r="AP84">
        <v>2.6956188423964279E-2</v>
      </c>
      <c r="AQ84">
        <v>13</v>
      </c>
      <c r="AR84">
        <v>80</v>
      </c>
      <c r="AS84">
        <v>4</v>
      </c>
      <c r="AT84">
        <v>21</v>
      </c>
      <c r="AU84">
        <v>17</v>
      </c>
      <c r="AV84">
        <v>74</v>
      </c>
      <c r="AW84">
        <v>0</v>
      </c>
      <c r="AX84" t="str">
        <v>Yes</v>
      </c>
      <c r="AY84" t="str">
        <v>No</v>
      </c>
      <c r="AZ84" t="str">
        <v>Divya R</v>
      </c>
    </row>
    <row r="85" spans="3:52" x14ac:dyDescent="0.35">
      <c r="C85" s="5" t="str">
        <v>E1172</v>
      </c>
      <c r="D85" t="str">
        <v>Divya V</v>
      </c>
      <c r="E85" t="str">
        <v>Male</v>
      </c>
      <c r="F85" t="str">
        <v>Operations</v>
      </c>
      <c r="G85" t="str">
        <v>Associate</v>
      </c>
      <c r="H85" t="str">
        <v>Chennai</v>
      </c>
      <c r="I85">
        <v>45803</v>
      </c>
      <c r="J85">
        <v>31116</v>
      </c>
      <c r="K85">
        <v>74457</v>
      </c>
      <c r="L85">
        <v>3253</v>
      </c>
      <c r="M85">
        <v>4802</v>
      </c>
      <c r="N85">
        <v>82512</v>
      </c>
      <c r="O85">
        <v>990144</v>
      </c>
      <c r="P85">
        <v>6.4493600333078147E-2</v>
      </c>
      <c r="Q85">
        <v>8</v>
      </c>
      <c r="R85">
        <v>88</v>
      </c>
      <c r="S85">
        <v>4</v>
      </c>
      <c r="T85">
        <v>33</v>
      </c>
      <c r="U85">
        <v>10</v>
      </c>
      <c r="V85">
        <v>79</v>
      </c>
      <c r="W85">
        <v>0</v>
      </c>
      <c r="X85" t="str">
        <v>No</v>
      </c>
      <c r="Y85" t="str">
        <v>No</v>
      </c>
      <c r="Z85" t="str">
        <v>Priya M</v>
      </c>
      <c r="AC85" t="str">
        <v>E1172</v>
      </c>
      <c r="AD85" t="str">
        <v>Divya V</v>
      </c>
      <c r="AE85" t="str">
        <v>Male</v>
      </c>
      <c r="AF85" t="str">
        <v>Operations</v>
      </c>
      <c r="AG85" t="str">
        <v>Associate</v>
      </c>
      <c r="AH85" t="str">
        <v>Chennai</v>
      </c>
      <c r="AI85">
        <v>45803</v>
      </c>
      <c r="AJ85">
        <v>31116</v>
      </c>
      <c r="AK85">
        <v>74457</v>
      </c>
      <c r="AL85">
        <v>3253</v>
      </c>
      <c r="AM85">
        <v>4802</v>
      </c>
      <c r="AN85">
        <v>82512</v>
      </c>
      <c r="AO85">
        <v>990144</v>
      </c>
      <c r="AP85">
        <v>6.4493600333078147E-2</v>
      </c>
      <c r="AQ85">
        <v>8</v>
      </c>
      <c r="AR85">
        <v>88</v>
      </c>
      <c r="AS85">
        <v>4</v>
      </c>
      <c r="AT85">
        <v>33</v>
      </c>
      <c r="AU85">
        <v>10</v>
      </c>
      <c r="AV85">
        <v>79</v>
      </c>
      <c r="AW85">
        <v>0</v>
      </c>
      <c r="AX85" t="str">
        <v>No</v>
      </c>
      <c r="AY85" t="str">
        <v>No</v>
      </c>
      <c r="AZ85" t="str">
        <v>Priya M</v>
      </c>
    </row>
    <row r="86" spans="3:52" x14ac:dyDescent="0.35">
      <c r="C86" s="5" t="str">
        <v>E1173</v>
      </c>
      <c r="D86" t="str">
        <v>Anitha P</v>
      </c>
      <c r="E86" t="str">
        <v>Female</v>
      </c>
      <c r="F86" t="str">
        <v>Operations</v>
      </c>
      <c r="G86" t="str">
        <v>Team Lead</v>
      </c>
      <c r="H86" t="str">
        <v>Bengaluru</v>
      </c>
      <c r="I86">
        <v>43543</v>
      </c>
      <c r="J86">
        <v>36803</v>
      </c>
      <c r="K86">
        <v>84048</v>
      </c>
      <c r="L86">
        <v>3126</v>
      </c>
      <c r="M86">
        <v>3594</v>
      </c>
      <c r="N86">
        <v>90768</v>
      </c>
      <c r="O86">
        <v>1089216</v>
      </c>
      <c r="P86">
        <v>4.276127926898915E-2</v>
      </c>
      <c r="Q86">
        <v>13</v>
      </c>
      <c r="R86">
        <v>85</v>
      </c>
      <c r="S86">
        <v>1</v>
      </c>
      <c r="T86">
        <v>34</v>
      </c>
      <c r="U86">
        <v>14</v>
      </c>
      <c r="V86">
        <v>100</v>
      </c>
      <c r="W86">
        <v>0</v>
      </c>
      <c r="X86" t="str">
        <v>Yes</v>
      </c>
      <c r="Y86" t="str">
        <v>No</v>
      </c>
      <c r="Z86" t="str">
        <v>Karthik V</v>
      </c>
      <c r="AC86" t="str">
        <v>E1173</v>
      </c>
      <c r="AD86" t="str">
        <v>Anitha P</v>
      </c>
      <c r="AE86" t="str">
        <v>Female</v>
      </c>
      <c r="AF86" t="str">
        <v>Operations</v>
      </c>
      <c r="AG86" t="str">
        <v>Team Lead</v>
      </c>
      <c r="AH86" t="str">
        <v>Bengaluru</v>
      </c>
      <c r="AI86">
        <v>43543</v>
      </c>
      <c r="AJ86">
        <v>36803</v>
      </c>
      <c r="AK86">
        <v>84048</v>
      </c>
      <c r="AL86">
        <v>3126</v>
      </c>
      <c r="AM86">
        <v>3594</v>
      </c>
      <c r="AN86">
        <v>90768</v>
      </c>
      <c r="AO86">
        <v>1089216</v>
      </c>
      <c r="AP86">
        <v>4.276127926898915E-2</v>
      </c>
      <c r="AQ86">
        <v>13</v>
      </c>
      <c r="AR86">
        <v>85</v>
      </c>
      <c r="AS86">
        <v>1</v>
      </c>
      <c r="AT86">
        <v>34</v>
      </c>
      <c r="AU86">
        <v>14</v>
      </c>
      <c r="AV86">
        <v>100</v>
      </c>
      <c r="AW86">
        <v>0</v>
      </c>
      <c r="AX86" t="str">
        <v>Yes</v>
      </c>
      <c r="AY86" t="str">
        <v>No</v>
      </c>
      <c r="AZ86" t="str">
        <v>Karthik V</v>
      </c>
    </row>
    <row r="87" spans="3:52" x14ac:dyDescent="0.35">
      <c r="C87" s="5" t="str">
        <v>E1176</v>
      </c>
      <c r="D87" t="str">
        <v>Karthik R</v>
      </c>
      <c r="E87" t="str">
        <v>Female</v>
      </c>
      <c r="F87" t="str">
        <v>Marketing</v>
      </c>
      <c r="G87" t="str">
        <v>Executive</v>
      </c>
      <c r="H87" t="str">
        <v>Bengaluru</v>
      </c>
      <c r="I87">
        <v>42252</v>
      </c>
      <c r="J87">
        <v>35236</v>
      </c>
      <c r="K87">
        <v>94655</v>
      </c>
      <c r="L87">
        <v>11178</v>
      </c>
      <c r="M87">
        <v>13473</v>
      </c>
      <c r="N87">
        <v>119306</v>
      </c>
      <c r="O87">
        <v>1431672</v>
      </c>
      <c r="P87">
        <v>0.14233796418572711</v>
      </c>
      <c r="Q87">
        <v>6</v>
      </c>
      <c r="R87">
        <v>89</v>
      </c>
      <c r="S87">
        <v>4</v>
      </c>
      <c r="T87">
        <v>40</v>
      </c>
      <c r="U87">
        <v>4</v>
      </c>
      <c r="V87">
        <v>58</v>
      </c>
      <c r="W87">
        <v>0</v>
      </c>
      <c r="X87" t="str">
        <v>No</v>
      </c>
      <c r="Y87" t="str">
        <v>No</v>
      </c>
      <c r="Z87" t="str">
        <v>Ravi Kumar</v>
      </c>
      <c r="AC87" t="str">
        <v>E1176</v>
      </c>
      <c r="AD87" t="str">
        <v>Karthik R</v>
      </c>
      <c r="AE87" t="str">
        <v>Female</v>
      </c>
      <c r="AF87" t="str">
        <v>Marketing</v>
      </c>
      <c r="AG87" t="str">
        <v>Executive</v>
      </c>
      <c r="AH87" t="str">
        <v>Bengaluru</v>
      </c>
      <c r="AI87">
        <v>42252</v>
      </c>
      <c r="AJ87">
        <v>35236</v>
      </c>
      <c r="AK87">
        <v>94655</v>
      </c>
      <c r="AL87">
        <v>11178</v>
      </c>
      <c r="AM87">
        <v>13473</v>
      </c>
      <c r="AN87">
        <v>119306</v>
      </c>
      <c r="AO87">
        <v>1431672</v>
      </c>
      <c r="AP87">
        <v>0.14233796418572711</v>
      </c>
      <c r="AQ87">
        <v>6</v>
      </c>
      <c r="AR87">
        <v>89</v>
      </c>
      <c r="AS87">
        <v>4</v>
      </c>
      <c r="AT87">
        <v>40</v>
      </c>
      <c r="AU87">
        <v>4</v>
      </c>
      <c r="AV87">
        <v>58</v>
      </c>
      <c r="AW87">
        <v>0</v>
      </c>
      <c r="AX87" t="str">
        <v>No</v>
      </c>
      <c r="AY87" t="str">
        <v>No</v>
      </c>
      <c r="AZ87" t="str">
        <v>Ravi Kumar</v>
      </c>
    </row>
    <row r="88" spans="3:52" x14ac:dyDescent="0.35">
      <c r="C88" s="5" t="str">
        <v>E1178</v>
      </c>
      <c r="D88" t="str">
        <v>Meena R</v>
      </c>
      <c r="E88" t="str">
        <v>Male</v>
      </c>
      <c r="F88" t="str">
        <v>Finance</v>
      </c>
      <c r="G88" t="str">
        <v>Associate</v>
      </c>
      <c r="H88" t="str">
        <v>Mumbai</v>
      </c>
      <c r="I88">
        <v>43264</v>
      </c>
      <c r="J88">
        <v>37830</v>
      </c>
      <c r="K88">
        <v>72152</v>
      </c>
      <c r="L88">
        <v>17690</v>
      </c>
      <c r="M88">
        <v>12861</v>
      </c>
      <c r="N88">
        <v>102703</v>
      </c>
      <c r="O88">
        <v>1232436</v>
      </c>
      <c r="P88">
        <v>0.17824869719481096</v>
      </c>
      <c r="Q88">
        <v>5</v>
      </c>
      <c r="R88">
        <v>81</v>
      </c>
      <c r="S88">
        <v>3</v>
      </c>
      <c r="T88">
        <v>52</v>
      </c>
      <c r="U88">
        <v>9</v>
      </c>
      <c r="V88">
        <v>97</v>
      </c>
      <c r="W88">
        <v>0</v>
      </c>
      <c r="X88" t="str">
        <v>No</v>
      </c>
      <c r="Y88" t="str">
        <v>No</v>
      </c>
      <c r="Z88" t="str">
        <v>Manoj P</v>
      </c>
      <c r="AC88" t="str">
        <v>E1178</v>
      </c>
      <c r="AD88" t="str">
        <v>Meena R</v>
      </c>
      <c r="AE88" t="str">
        <v>Male</v>
      </c>
      <c r="AF88" t="str">
        <v>Finance</v>
      </c>
      <c r="AG88" t="str">
        <v>Associate</v>
      </c>
      <c r="AH88" t="str">
        <v>Mumbai</v>
      </c>
      <c r="AI88">
        <v>43264</v>
      </c>
      <c r="AJ88">
        <v>37830</v>
      </c>
      <c r="AK88">
        <v>72152</v>
      </c>
      <c r="AL88">
        <v>17690</v>
      </c>
      <c r="AM88">
        <v>12861</v>
      </c>
      <c r="AN88">
        <v>102703</v>
      </c>
      <c r="AO88">
        <v>1232436</v>
      </c>
      <c r="AP88">
        <v>0.17824869719481096</v>
      </c>
      <c r="AQ88">
        <v>5</v>
      </c>
      <c r="AR88">
        <v>81</v>
      </c>
      <c r="AS88">
        <v>3</v>
      </c>
      <c r="AT88">
        <v>52</v>
      </c>
      <c r="AU88">
        <v>9</v>
      </c>
      <c r="AV88">
        <v>97</v>
      </c>
      <c r="AW88">
        <v>0</v>
      </c>
      <c r="AX88" t="str">
        <v>No</v>
      </c>
      <c r="AY88" t="str">
        <v>No</v>
      </c>
      <c r="AZ88" t="str">
        <v>Manoj P</v>
      </c>
    </row>
    <row r="89" spans="3:52" x14ac:dyDescent="0.35">
      <c r="C89" s="5" t="str">
        <v>E1185</v>
      </c>
      <c r="D89" t="str">
        <v>Divya K</v>
      </c>
      <c r="E89" t="str">
        <v>Female</v>
      </c>
      <c r="F89" t="str">
        <v>HR</v>
      </c>
      <c r="G89" t="str">
        <v>Manager</v>
      </c>
      <c r="H89" t="str">
        <v>Coimbatore</v>
      </c>
      <c r="I89">
        <v>43404</v>
      </c>
      <c r="J89">
        <v>31192</v>
      </c>
      <c r="K89">
        <v>75062</v>
      </c>
      <c r="L89">
        <v>10560</v>
      </c>
      <c r="M89">
        <v>2612</v>
      </c>
      <c r="N89">
        <v>88234</v>
      </c>
      <c r="O89">
        <v>1058808</v>
      </c>
      <c r="P89">
        <v>3.4797900402334069E-2</v>
      </c>
      <c r="Q89">
        <v>13</v>
      </c>
      <c r="R89">
        <v>100</v>
      </c>
      <c r="S89">
        <v>1</v>
      </c>
      <c r="T89">
        <v>53</v>
      </c>
      <c r="U89">
        <v>9</v>
      </c>
      <c r="V89">
        <v>88</v>
      </c>
      <c r="W89">
        <v>0</v>
      </c>
      <c r="X89" t="str">
        <v>No</v>
      </c>
      <c r="Y89" t="str">
        <v>No</v>
      </c>
      <c r="Z89" t="str">
        <v>Manoj P</v>
      </c>
      <c r="AC89" t="str">
        <v>E1185</v>
      </c>
      <c r="AD89" t="str">
        <v>Divya K</v>
      </c>
      <c r="AE89" t="str">
        <v>Female</v>
      </c>
      <c r="AF89" t="str">
        <v>HR</v>
      </c>
      <c r="AG89" t="str">
        <v>Manager</v>
      </c>
      <c r="AH89" t="str">
        <v>Coimbatore</v>
      </c>
      <c r="AI89">
        <v>43404</v>
      </c>
      <c r="AJ89">
        <v>31192</v>
      </c>
      <c r="AK89">
        <v>75062</v>
      </c>
      <c r="AL89">
        <v>10560</v>
      </c>
      <c r="AM89">
        <v>2612</v>
      </c>
      <c r="AN89">
        <v>88234</v>
      </c>
      <c r="AO89">
        <v>1058808</v>
      </c>
      <c r="AP89">
        <v>3.4797900402334069E-2</v>
      </c>
      <c r="AQ89">
        <v>13</v>
      </c>
      <c r="AR89">
        <v>100</v>
      </c>
      <c r="AS89">
        <v>1</v>
      </c>
      <c r="AT89">
        <v>53</v>
      </c>
      <c r="AU89">
        <v>9</v>
      </c>
      <c r="AV89">
        <v>88</v>
      </c>
      <c r="AW89">
        <v>0</v>
      </c>
      <c r="AX89" t="str">
        <v>No</v>
      </c>
      <c r="AY89" t="str">
        <v>No</v>
      </c>
      <c r="AZ89" t="str">
        <v>Manoj P</v>
      </c>
    </row>
    <row r="90" spans="3:52" x14ac:dyDescent="0.35">
      <c r="C90" s="5" t="str">
        <v>E1190</v>
      </c>
      <c r="D90" t="str">
        <v>Kumar V</v>
      </c>
      <c r="E90" t="str">
        <v>Male</v>
      </c>
      <c r="F90" t="str">
        <v>Marketing</v>
      </c>
      <c r="G90" t="str">
        <v>Team Lead</v>
      </c>
      <c r="H90" t="str">
        <v>Mumbai</v>
      </c>
      <c r="I90">
        <v>44376</v>
      </c>
      <c r="J90">
        <v>34830</v>
      </c>
      <c r="K90">
        <v>60025</v>
      </c>
      <c r="L90">
        <v>6861</v>
      </c>
      <c r="M90">
        <v>14502</v>
      </c>
      <c r="N90">
        <v>81388</v>
      </c>
      <c r="O90">
        <v>976656</v>
      </c>
      <c r="P90">
        <v>0.24159933361099542</v>
      </c>
      <c r="Q90">
        <v>6</v>
      </c>
      <c r="R90">
        <v>89</v>
      </c>
      <c r="S90">
        <v>4</v>
      </c>
      <c r="T90">
        <v>67</v>
      </c>
      <c r="U90">
        <v>5</v>
      </c>
      <c r="V90">
        <v>80</v>
      </c>
      <c r="W90">
        <v>0</v>
      </c>
      <c r="X90" t="str">
        <v>Yes</v>
      </c>
      <c r="Y90" t="str">
        <v>No</v>
      </c>
      <c r="Z90" t="str">
        <v>Priya M</v>
      </c>
      <c r="AC90" t="str">
        <v>E1190</v>
      </c>
      <c r="AD90" t="str">
        <v>Kumar V</v>
      </c>
      <c r="AE90" t="str">
        <v>Male</v>
      </c>
      <c r="AF90" t="str">
        <v>Marketing</v>
      </c>
      <c r="AG90" t="str">
        <v>Team Lead</v>
      </c>
      <c r="AH90" t="str">
        <v>Mumbai</v>
      </c>
      <c r="AI90">
        <v>44376</v>
      </c>
      <c r="AJ90">
        <v>34830</v>
      </c>
      <c r="AK90">
        <v>60025</v>
      </c>
      <c r="AL90">
        <v>6861</v>
      </c>
      <c r="AM90">
        <v>14502</v>
      </c>
      <c r="AN90">
        <v>81388</v>
      </c>
      <c r="AO90">
        <v>976656</v>
      </c>
      <c r="AP90">
        <v>0.24159933361099542</v>
      </c>
      <c r="AQ90">
        <v>6</v>
      </c>
      <c r="AR90">
        <v>89</v>
      </c>
      <c r="AS90">
        <v>4</v>
      </c>
      <c r="AT90">
        <v>67</v>
      </c>
      <c r="AU90">
        <v>5</v>
      </c>
      <c r="AV90">
        <v>80</v>
      </c>
      <c r="AW90">
        <v>0</v>
      </c>
      <c r="AX90" t="str">
        <v>Yes</v>
      </c>
      <c r="AY90" t="str">
        <v>No</v>
      </c>
      <c r="AZ90" t="str">
        <v>Priya M</v>
      </c>
    </row>
    <row r="91" spans="3:52" x14ac:dyDescent="0.35">
      <c r="C91" s="5" t="str">
        <v>E1194</v>
      </c>
      <c r="D91" t="str">
        <v>Lakshmi K</v>
      </c>
      <c r="E91" t="str">
        <v>Female</v>
      </c>
      <c r="F91" t="str">
        <v>HR</v>
      </c>
      <c r="G91" t="str">
        <v>Analyst</v>
      </c>
      <c r="H91" t="str">
        <v>Coimbatore</v>
      </c>
      <c r="I91">
        <v>43203</v>
      </c>
      <c r="J91">
        <v>29620</v>
      </c>
      <c r="K91">
        <v>89735</v>
      </c>
      <c r="L91">
        <v>7219</v>
      </c>
      <c r="M91">
        <v>2004</v>
      </c>
      <c r="N91">
        <v>98958</v>
      </c>
      <c r="O91">
        <v>1187496</v>
      </c>
      <c r="P91">
        <v>2.2332423246224996E-2</v>
      </c>
      <c r="Q91">
        <v>7</v>
      </c>
      <c r="R91">
        <v>97</v>
      </c>
      <c r="S91">
        <v>1</v>
      </c>
      <c r="T91">
        <v>57</v>
      </c>
      <c r="U91">
        <v>10</v>
      </c>
      <c r="V91">
        <v>90</v>
      </c>
      <c r="W91">
        <v>0</v>
      </c>
      <c r="X91" t="str">
        <v>Yes</v>
      </c>
      <c r="Y91" t="str">
        <v>No</v>
      </c>
      <c r="Z91" t="str">
        <v>Ravi Kumar</v>
      </c>
      <c r="AC91" t="str">
        <v>E1194</v>
      </c>
      <c r="AD91" t="str">
        <v>Lakshmi K</v>
      </c>
      <c r="AE91" t="str">
        <v>Female</v>
      </c>
      <c r="AF91" t="str">
        <v>HR</v>
      </c>
      <c r="AG91" t="str">
        <v>Analyst</v>
      </c>
      <c r="AH91" t="str">
        <v>Coimbatore</v>
      </c>
      <c r="AI91">
        <v>43203</v>
      </c>
      <c r="AJ91">
        <v>29620</v>
      </c>
      <c r="AK91">
        <v>89735</v>
      </c>
      <c r="AL91">
        <v>7219</v>
      </c>
      <c r="AM91">
        <v>2004</v>
      </c>
      <c r="AN91">
        <v>98958</v>
      </c>
      <c r="AO91">
        <v>1187496</v>
      </c>
      <c r="AP91">
        <v>2.2332423246224996E-2</v>
      </c>
      <c r="AQ91">
        <v>7</v>
      </c>
      <c r="AR91">
        <v>97</v>
      </c>
      <c r="AS91">
        <v>1</v>
      </c>
      <c r="AT91">
        <v>57</v>
      </c>
      <c r="AU91">
        <v>10</v>
      </c>
      <c r="AV91">
        <v>90</v>
      </c>
      <c r="AW91">
        <v>0</v>
      </c>
      <c r="AX91" t="str">
        <v>Yes</v>
      </c>
      <c r="AY91" t="str">
        <v>No</v>
      </c>
      <c r="AZ91" t="str">
        <v>Ravi Kumar</v>
      </c>
    </row>
    <row r="92" spans="3:52" x14ac:dyDescent="0.35">
      <c r="C92" s="5" t="str">
        <v>E1196</v>
      </c>
      <c r="D92" t="str">
        <v>Vijay R</v>
      </c>
      <c r="E92" t="str">
        <v>Female</v>
      </c>
      <c r="F92" t="str">
        <v>IT</v>
      </c>
      <c r="G92" t="str">
        <v>Analyst</v>
      </c>
      <c r="H92" t="str">
        <v>Coimbatore</v>
      </c>
      <c r="I92">
        <v>44208</v>
      </c>
      <c r="J92">
        <v>32526</v>
      </c>
      <c r="K92">
        <v>95696</v>
      </c>
      <c r="L92">
        <v>10762</v>
      </c>
      <c r="M92">
        <v>8088</v>
      </c>
      <c r="N92">
        <v>114546</v>
      </c>
      <c r="O92">
        <v>1374552</v>
      </c>
      <c r="P92">
        <v>8.451763919077078E-2</v>
      </c>
      <c r="Q92">
        <v>19</v>
      </c>
      <c r="R92">
        <v>83</v>
      </c>
      <c r="S92">
        <v>1</v>
      </c>
      <c r="T92">
        <v>76</v>
      </c>
      <c r="U92">
        <v>16</v>
      </c>
      <c r="V92">
        <v>62</v>
      </c>
      <c r="W92">
        <v>0</v>
      </c>
      <c r="X92" t="str">
        <v>No</v>
      </c>
      <c r="Y92" t="str">
        <v>No</v>
      </c>
      <c r="Z92" t="str">
        <v>Ravi Kumar</v>
      </c>
      <c r="AC92" t="str">
        <v>E1196</v>
      </c>
      <c r="AD92" t="str">
        <v>Vijay R</v>
      </c>
      <c r="AE92" t="str">
        <v>Female</v>
      </c>
      <c r="AF92" t="str">
        <v>IT</v>
      </c>
      <c r="AG92" t="str">
        <v>Analyst</v>
      </c>
      <c r="AH92" t="str">
        <v>Coimbatore</v>
      </c>
      <c r="AI92">
        <v>44208</v>
      </c>
      <c r="AJ92">
        <v>32526</v>
      </c>
      <c r="AK92">
        <v>95696</v>
      </c>
      <c r="AL92">
        <v>10762</v>
      </c>
      <c r="AM92">
        <v>8088</v>
      </c>
      <c r="AN92">
        <v>114546</v>
      </c>
      <c r="AO92">
        <v>1374552</v>
      </c>
      <c r="AP92">
        <v>8.451763919077078E-2</v>
      </c>
      <c r="AQ92">
        <v>19</v>
      </c>
      <c r="AR92">
        <v>83</v>
      </c>
      <c r="AS92">
        <v>1</v>
      </c>
      <c r="AT92">
        <v>76</v>
      </c>
      <c r="AU92">
        <v>16</v>
      </c>
      <c r="AV92">
        <v>62</v>
      </c>
      <c r="AW92">
        <v>0</v>
      </c>
      <c r="AX92" t="str">
        <v>No</v>
      </c>
      <c r="AY92" t="str">
        <v>No</v>
      </c>
      <c r="AZ92" t="str">
        <v>Ravi Kumar</v>
      </c>
    </row>
    <row r="93" spans="3:52" x14ac:dyDescent="0.35">
      <c r="C93" s="5" t="str">
        <v>E1198</v>
      </c>
      <c r="D93" t="str">
        <v>Arjun S</v>
      </c>
      <c r="E93" t="str">
        <v>Female</v>
      </c>
      <c r="F93" t="str">
        <v>Finance</v>
      </c>
      <c r="G93" t="str">
        <v>Analyst</v>
      </c>
      <c r="H93" t="str">
        <v>Hyderabad</v>
      </c>
      <c r="I93">
        <v>45100</v>
      </c>
      <c r="J93">
        <v>31222</v>
      </c>
      <c r="K93">
        <v>89281</v>
      </c>
      <c r="L93">
        <v>11112</v>
      </c>
      <c r="M93">
        <v>3034</v>
      </c>
      <c r="N93">
        <v>103427</v>
      </c>
      <c r="O93">
        <v>1241124</v>
      </c>
      <c r="P93">
        <v>3.3982594280978037E-2</v>
      </c>
      <c r="Q93">
        <v>16</v>
      </c>
      <c r="R93">
        <v>99</v>
      </c>
      <c r="S93">
        <v>5</v>
      </c>
      <c r="T93">
        <v>1</v>
      </c>
      <c r="U93">
        <v>2</v>
      </c>
      <c r="V93">
        <v>71</v>
      </c>
      <c r="W93">
        <v>0</v>
      </c>
      <c r="X93" t="str">
        <v>No</v>
      </c>
      <c r="Y93" t="str">
        <v>Yes</v>
      </c>
      <c r="Z93" t="str">
        <v>Manoj P</v>
      </c>
      <c r="AC93" t="str">
        <v>E1198</v>
      </c>
      <c r="AD93" t="str">
        <v>Arjun S</v>
      </c>
      <c r="AE93" t="str">
        <v>Female</v>
      </c>
      <c r="AF93" t="str">
        <v>Finance</v>
      </c>
      <c r="AG93" t="str">
        <v>Analyst</v>
      </c>
      <c r="AH93" t="str">
        <v>Hyderabad</v>
      </c>
      <c r="AI93">
        <v>45100</v>
      </c>
      <c r="AJ93">
        <v>31222</v>
      </c>
      <c r="AK93">
        <v>89281</v>
      </c>
      <c r="AL93">
        <v>11112</v>
      </c>
      <c r="AM93">
        <v>3034</v>
      </c>
      <c r="AN93">
        <v>103427</v>
      </c>
      <c r="AO93">
        <v>1241124</v>
      </c>
      <c r="AP93">
        <v>3.3982594280978037E-2</v>
      </c>
      <c r="AQ93">
        <v>16</v>
      </c>
      <c r="AR93">
        <v>99</v>
      </c>
      <c r="AS93">
        <v>5</v>
      </c>
      <c r="AT93">
        <v>1</v>
      </c>
      <c r="AU93">
        <v>2</v>
      </c>
      <c r="AV93">
        <v>71</v>
      </c>
      <c r="AW93">
        <v>0</v>
      </c>
      <c r="AX93" t="str">
        <v>No</v>
      </c>
      <c r="AY93" t="str">
        <v>Yes</v>
      </c>
      <c r="AZ93" t="str">
        <v>Manoj P</v>
      </c>
    </row>
    <row r="94" spans="3:52" x14ac:dyDescent="0.35">
      <c r="C94" s="5" t="str">
        <v>E1199</v>
      </c>
      <c r="D94" t="str">
        <v>Nisha M</v>
      </c>
      <c r="E94" t="str">
        <v>Female</v>
      </c>
      <c r="F94" t="str">
        <v>HR</v>
      </c>
      <c r="G94" t="str">
        <v>Senior Analyst</v>
      </c>
      <c r="H94" t="str">
        <v>Madurai</v>
      </c>
      <c r="I94">
        <v>45524</v>
      </c>
      <c r="J94">
        <v>31983</v>
      </c>
      <c r="K94">
        <v>83226</v>
      </c>
      <c r="L94">
        <v>4643</v>
      </c>
      <c r="M94">
        <v>3808</v>
      </c>
      <c r="N94">
        <v>91677</v>
      </c>
      <c r="O94">
        <v>1100124</v>
      </c>
      <c r="P94">
        <v>4.5754932352870495E-2</v>
      </c>
      <c r="Q94">
        <v>10</v>
      </c>
      <c r="R94">
        <v>87</v>
      </c>
      <c r="S94">
        <v>2</v>
      </c>
      <c r="T94">
        <v>30</v>
      </c>
      <c r="U94">
        <v>19</v>
      </c>
      <c r="V94">
        <v>78</v>
      </c>
      <c r="W94">
        <v>0</v>
      </c>
      <c r="X94" t="str">
        <v>No</v>
      </c>
      <c r="Y94" t="str">
        <v>No</v>
      </c>
      <c r="Z94" t="str">
        <v>Divya R</v>
      </c>
      <c r="AC94" t="str">
        <v>E1199</v>
      </c>
      <c r="AD94" t="str">
        <v>Nisha M</v>
      </c>
      <c r="AE94" t="str">
        <v>Female</v>
      </c>
      <c r="AF94" t="str">
        <v>HR</v>
      </c>
      <c r="AG94" t="str">
        <v>Senior Analyst</v>
      </c>
      <c r="AH94" t="str">
        <v>Madurai</v>
      </c>
      <c r="AI94">
        <v>45524</v>
      </c>
      <c r="AJ94">
        <v>31983</v>
      </c>
      <c r="AK94">
        <v>83226</v>
      </c>
      <c r="AL94">
        <v>4643</v>
      </c>
      <c r="AM94">
        <v>3808</v>
      </c>
      <c r="AN94">
        <v>91677</v>
      </c>
      <c r="AO94">
        <v>1100124</v>
      </c>
      <c r="AP94">
        <v>4.5754932352870495E-2</v>
      </c>
      <c r="AQ94">
        <v>10</v>
      </c>
      <c r="AR94">
        <v>87</v>
      </c>
      <c r="AS94">
        <v>2</v>
      </c>
      <c r="AT94">
        <v>30</v>
      </c>
      <c r="AU94">
        <v>19</v>
      </c>
      <c r="AV94">
        <v>78</v>
      </c>
      <c r="AW94">
        <v>0</v>
      </c>
      <c r="AX94" t="str">
        <v>No</v>
      </c>
      <c r="AY94" t="str">
        <v>No</v>
      </c>
      <c r="AZ94" t="str">
        <v>Divya R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807AB-16E1-43EE-A1F9-E0EB99A91278}">
  <dimension ref="A1:C1"/>
  <sheetViews>
    <sheetView zoomScale="175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47.453125" style="4" bestFit="1" customWidth="1"/>
    <col min="3" max="3" width="19" style="5" customWidth="1"/>
  </cols>
  <sheetData>
    <row r="1" spans="1:3" ht="29" x14ac:dyDescent="0.35">
      <c r="A1">
        <v>20</v>
      </c>
      <c r="B1" s="4" t="s">
        <v>363</v>
      </c>
      <c r="C1" s="17">
        <f>AVERAGE(emp_data!T2:T201)</f>
        <v>75.734999999999999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E44E1-39E0-4F46-975F-EF4A3C0265EA}">
  <dimension ref="A1:C7"/>
  <sheetViews>
    <sheetView topLeftCell="B1" zoomScale="175" zoomScaleNormal="175" workbookViewId="0">
      <selection activeCell="C5" sqref="C5"/>
    </sheetView>
  </sheetViews>
  <sheetFormatPr defaultRowHeight="14.5" x14ac:dyDescent="0.35"/>
  <cols>
    <col min="1" max="1" width="3" bestFit="1" customWidth="1"/>
    <col min="2" max="2" width="50.1796875" style="4" bestFit="1" customWidth="1"/>
    <col min="3" max="3" width="40.1796875" style="5" bestFit="1" customWidth="1"/>
  </cols>
  <sheetData>
    <row r="1" spans="1:3" ht="29" x14ac:dyDescent="0.35">
      <c r="A1">
        <v>21</v>
      </c>
      <c r="B1" s="4" t="s">
        <v>364</v>
      </c>
      <c r="C1" s="15" t="str">
        <f>_xlfn.LET(
_xlpm.Score,emp_data!T2:T201,
_xlpm.EmpName,emp_data!B2:B201,
INDEX(_xlpm.EmpName,MATCH(MAX(_xlpm.Score),_xlpm.Score,0))
)</f>
        <v>Asha K</v>
      </c>
    </row>
    <row r="4" spans="1:3" x14ac:dyDescent="0.35">
      <c r="C4" s="5" t="str">
        <f>_xlfn.LET(_xlpm.score,emp_data!T2:T201,_xlpm.emp_name,emp_data!B2:B201,INDEX(_xlpm.emp_name,MATCH(MAX(_xlpm.score),_xlpm.score,0)))</f>
        <v>Asha K</v>
      </c>
    </row>
    <row r="7" spans="1:3" x14ac:dyDescent="0.35">
      <c r="C7" s="23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D125-4579-4F87-9804-4811328A1025}">
  <dimension ref="A1:C4"/>
  <sheetViews>
    <sheetView zoomScale="175" zoomScaleNormal="175" workbookViewId="0">
      <selection activeCell="C4" sqref="C4"/>
    </sheetView>
  </sheetViews>
  <sheetFormatPr defaultRowHeight="14.5" x14ac:dyDescent="0.35"/>
  <cols>
    <col min="1" max="1" width="3" bestFit="1" customWidth="1"/>
    <col min="2" max="2" width="49.54296875" style="4" bestFit="1" customWidth="1"/>
    <col min="3" max="3" width="40.1796875" style="5" bestFit="1" customWidth="1"/>
  </cols>
  <sheetData>
    <row r="1" spans="1:3" ht="29" x14ac:dyDescent="0.35">
      <c r="A1">
        <v>22</v>
      </c>
      <c r="B1" s="4" t="s">
        <v>365</v>
      </c>
      <c r="C1" s="15" t="str">
        <f>_xlfn.LET(
_xlpm.Score,emp_data!T2:T201,
_xlpm.EmpName,emp_data!B2:B201,
INDEX(_xlpm.EmpName,MATCH(MIN(_xlpm.Score),_xlpm.Score,0))
)</f>
        <v>Priya V</v>
      </c>
    </row>
    <row r="4" spans="1:3" x14ac:dyDescent="0.35">
      <c r="C4" s="5" t="str">
        <f>_xlfn.LET(_xlpm.score,emp_data!T2:T201,_xlpm.emp_name,emp_data!B2:B201,INDEX(_xlpm.emp_name,MATCH(MIN(_xlpm.score),_xlpm.score,0)))</f>
        <v>Priya V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8FC7-ABC8-4AAA-BED3-828B1A29D822}">
  <dimension ref="A1:D7"/>
  <sheetViews>
    <sheetView topLeftCell="A2" zoomScale="175" zoomScaleNormal="175" workbookViewId="0">
      <selection activeCell="D2" sqref="D2"/>
    </sheetView>
  </sheetViews>
  <sheetFormatPr defaultRowHeight="14.5" x14ac:dyDescent="0.35"/>
  <cols>
    <col min="1" max="1" width="3" bestFit="1" customWidth="1"/>
    <col min="2" max="2" width="60.6328125" style="4" bestFit="1" customWidth="1"/>
    <col min="3" max="3" width="24.1796875" style="4" customWidth="1"/>
    <col min="4" max="4" width="40.1796875" style="5" bestFit="1" customWidth="1"/>
  </cols>
  <sheetData>
    <row r="1" spans="1:4" x14ac:dyDescent="0.35">
      <c r="C1" s="4" t="s">
        <v>384</v>
      </c>
    </row>
    <row r="2" spans="1:4" ht="29" x14ac:dyDescent="0.35">
      <c r="A2">
        <v>23</v>
      </c>
      <c r="B2" s="4" t="s">
        <v>385</v>
      </c>
      <c r="C2" s="13">
        <v>100</v>
      </c>
      <c r="D2" s="18" t="str" cm="1">
        <f t="array" ref="D2:D5">_xlfn.LET(_xlpm.emp_id, emp_data!A2:A201, _xlpm.rating, emp_data!T2:T201, _xlfn._xlws.FILTER(_xlpm.emp_id &amp; " - " &amp;_xlpm.rating &amp; " %", _xlpm.rating&gt;=C2,"No Top Performer"))</f>
        <v>E1031 - 100 %</v>
      </c>
    </row>
    <row r="3" spans="1:4" x14ac:dyDescent="0.35">
      <c r="D3" s="6" t="str">
        <v>E1065 - 100 %</v>
      </c>
    </row>
    <row r="4" spans="1:4" x14ac:dyDescent="0.35">
      <c r="D4" s="7" t="str">
        <v>E1173 - 100 %</v>
      </c>
    </row>
    <row r="5" spans="1:4" x14ac:dyDescent="0.35">
      <c r="D5" s="6" t="str">
        <v>E1189 - 100 %</v>
      </c>
    </row>
    <row r="7" spans="1:4" x14ac:dyDescent="0.35">
      <c r="C7" s="4">
        <v>100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65753-55C8-4CF6-AC7B-303DBD22EAA4}">
  <dimension ref="A1:E201"/>
  <sheetViews>
    <sheetView topLeftCell="C1" zoomScale="175" zoomScaleNormal="175" workbookViewId="0">
      <selection activeCell="C3" sqref="C3"/>
    </sheetView>
  </sheetViews>
  <sheetFormatPr defaultRowHeight="14.5" x14ac:dyDescent="0.35"/>
  <cols>
    <col min="1" max="1" width="3" bestFit="1" customWidth="1"/>
    <col min="2" max="2" width="76.08984375" style="4" customWidth="1"/>
    <col min="3" max="3" width="7.453125" style="20" bestFit="1" customWidth="1"/>
    <col min="4" max="4" width="40.1796875" style="5" bestFit="1" customWidth="1"/>
    <col min="5" max="5" width="19.26953125" bestFit="1" customWidth="1"/>
  </cols>
  <sheetData>
    <row r="1" spans="1:5" x14ac:dyDescent="0.35">
      <c r="C1" s="20" t="s">
        <v>384</v>
      </c>
    </row>
    <row r="2" spans="1:5" x14ac:dyDescent="0.35">
      <c r="A2">
        <v>24</v>
      </c>
      <c r="B2" s="4" t="s">
        <v>386</v>
      </c>
      <c r="C2" s="21">
        <v>80</v>
      </c>
      <c r="D2" s="19" t="str" cm="1">
        <f t="array" ref="D2:D201">_xlfn.LET(_xlpm.emp_id, emp_data!A2:A201, _xlpm.att, emp_data!P2:P201, _xlfn._xlws.FILTER(_xlpm.emp_id &amp; " - " &amp; _xlpm.att &amp; " % ", _xlpm.att&gt;=C2, "Not Regular"))</f>
        <v xml:space="preserve">E1001 - 90 % </v>
      </c>
      <c r="E2" t="str" cm="1">
        <f t="array" ref="E2:E201">_xlfn.LET(_xlpm.emp_id,emp_data!A2:A201,_xlpm.emp_name,emp_data!B2:B201,_xlpm.att,emp_data!P2:P201,_xlfn._xlws.FILTER(_xlpm.emp_id  &amp; "-"   &amp; _xlpm.emp_name  &amp; "-" &amp; _xlpm.att &amp; "%",_xlpm.att&gt;=C2,"not regular"))</f>
        <v>E1001-Priya S-90%</v>
      </c>
    </row>
    <row r="3" spans="1:5" x14ac:dyDescent="0.35">
      <c r="D3" s="5" t="str">
        <v xml:space="preserve">E1002 - 83 % </v>
      </c>
      <c r="E3" t="str">
        <v>E1002-Anitha R-83%</v>
      </c>
    </row>
    <row r="4" spans="1:5" x14ac:dyDescent="0.35">
      <c r="D4" s="5" t="str">
        <v xml:space="preserve">E1003 - 86 % </v>
      </c>
      <c r="E4" t="str">
        <v>E1003-Meena M-86%</v>
      </c>
    </row>
    <row r="5" spans="1:5" x14ac:dyDescent="0.35">
      <c r="D5" s="5" t="str">
        <v xml:space="preserve">E1004 - 82 % </v>
      </c>
      <c r="E5" t="str">
        <v>E1004-Manoj M-82%</v>
      </c>
    </row>
    <row r="6" spans="1:5" x14ac:dyDescent="0.35">
      <c r="D6" s="5" t="str">
        <v xml:space="preserve">E1005 - 80 % </v>
      </c>
      <c r="E6" t="str">
        <v>E1005-Kumar K-80%</v>
      </c>
    </row>
    <row r="7" spans="1:5" x14ac:dyDescent="0.35">
      <c r="D7" s="5" t="str">
        <v xml:space="preserve">E1006 - 94 % </v>
      </c>
      <c r="E7" t="str">
        <v>E1006-Priya V-94%</v>
      </c>
    </row>
    <row r="8" spans="1:5" x14ac:dyDescent="0.35">
      <c r="D8" s="5" t="str">
        <v xml:space="preserve">E1007 - 96 % </v>
      </c>
      <c r="E8" t="str">
        <v>E1007-Vijay K-96%</v>
      </c>
    </row>
    <row r="9" spans="1:5" x14ac:dyDescent="0.35">
      <c r="D9" s="5" t="str">
        <v xml:space="preserve">E1008 - 80 % </v>
      </c>
      <c r="E9" t="str">
        <v>E1008-Kumar K-80%</v>
      </c>
    </row>
    <row r="10" spans="1:5" x14ac:dyDescent="0.35">
      <c r="D10" s="5" t="str">
        <v xml:space="preserve">E1009 - 92 % </v>
      </c>
      <c r="E10" t="str">
        <v>E1009-Anitha V-92%</v>
      </c>
    </row>
    <row r="11" spans="1:5" x14ac:dyDescent="0.35">
      <c r="D11" s="5" t="str">
        <v xml:space="preserve">E1010 - 89 % </v>
      </c>
      <c r="E11" t="str">
        <v>E1010-Sneha P-89%</v>
      </c>
    </row>
    <row r="12" spans="1:5" x14ac:dyDescent="0.35">
      <c r="D12" s="5" t="str">
        <v xml:space="preserve">E1011 - 82 % </v>
      </c>
      <c r="E12" t="str">
        <v>E1011-Manoj P-82%</v>
      </c>
    </row>
    <row r="13" spans="1:5" x14ac:dyDescent="0.35">
      <c r="D13" s="5" t="str">
        <v xml:space="preserve">E1012 - 82 % </v>
      </c>
      <c r="E13" t="str">
        <v>E1012-Kumar K-82%</v>
      </c>
    </row>
    <row r="14" spans="1:5" x14ac:dyDescent="0.35">
      <c r="D14" s="5" t="str">
        <v xml:space="preserve">E1013 - 95 % </v>
      </c>
      <c r="E14" t="str">
        <v>E1013-Rahul P-95%</v>
      </c>
    </row>
    <row r="15" spans="1:5" x14ac:dyDescent="0.35">
      <c r="D15" s="5" t="str">
        <v xml:space="preserve">E1014 - 93 % </v>
      </c>
      <c r="E15" t="str">
        <v>E1014-Arjun P-93%</v>
      </c>
    </row>
    <row r="16" spans="1:5" x14ac:dyDescent="0.35">
      <c r="D16" s="5" t="str">
        <v xml:space="preserve">E1015 - 91 % </v>
      </c>
      <c r="E16" t="str">
        <v>E1015-Vijay R-91%</v>
      </c>
    </row>
    <row r="17" spans="4:5" x14ac:dyDescent="0.35">
      <c r="D17" s="5" t="str">
        <v xml:space="preserve">E1016 - 87 % </v>
      </c>
      <c r="E17" t="str">
        <v>E1016-Ravi K-87%</v>
      </c>
    </row>
    <row r="18" spans="4:5" x14ac:dyDescent="0.35">
      <c r="D18" s="5" t="str">
        <v xml:space="preserve">E1017 - 95 % </v>
      </c>
      <c r="E18" t="str">
        <v>E1017-Anitha V-95%</v>
      </c>
    </row>
    <row r="19" spans="4:5" x14ac:dyDescent="0.35">
      <c r="D19" s="5" t="str">
        <v xml:space="preserve">E1018 - 90 % </v>
      </c>
      <c r="E19" t="str">
        <v>E1018-Rahul S-90%</v>
      </c>
    </row>
    <row r="20" spans="4:5" x14ac:dyDescent="0.35">
      <c r="D20" s="5" t="str">
        <v xml:space="preserve">E1019 - 96 % </v>
      </c>
      <c r="E20" t="str">
        <v>E1019-Sneha M-96%</v>
      </c>
    </row>
    <row r="21" spans="4:5" x14ac:dyDescent="0.35">
      <c r="D21" s="5" t="str">
        <v xml:space="preserve">E1020 - 93 % </v>
      </c>
      <c r="E21" t="str">
        <v>E1020-Anitha S-93%</v>
      </c>
    </row>
    <row r="22" spans="4:5" x14ac:dyDescent="0.35">
      <c r="D22" s="5" t="str">
        <v xml:space="preserve">E1021 - 82 % </v>
      </c>
      <c r="E22" t="str">
        <v>E1021-Pooja P-82%</v>
      </c>
    </row>
    <row r="23" spans="4:5" x14ac:dyDescent="0.35">
      <c r="D23" s="5" t="str">
        <v xml:space="preserve">E1022 - 86 % </v>
      </c>
      <c r="E23" t="str">
        <v>E1022-Arjun K-86%</v>
      </c>
    </row>
    <row r="24" spans="4:5" x14ac:dyDescent="0.35">
      <c r="D24" s="5" t="str">
        <v xml:space="preserve">E1023 - 89 % </v>
      </c>
      <c r="E24" t="str">
        <v>E1023-Anitha M-89%</v>
      </c>
    </row>
    <row r="25" spans="4:5" x14ac:dyDescent="0.35">
      <c r="D25" s="5" t="str">
        <v xml:space="preserve">E1024 - 92 % </v>
      </c>
      <c r="E25" t="str">
        <v>E1024-Divya M-92%</v>
      </c>
    </row>
    <row r="26" spans="4:5" x14ac:dyDescent="0.35">
      <c r="D26" s="5" t="str">
        <v xml:space="preserve">E1025 - 80 % </v>
      </c>
      <c r="E26" t="str">
        <v>E1025-Ravi V-80%</v>
      </c>
    </row>
    <row r="27" spans="4:5" x14ac:dyDescent="0.35">
      <c r="D27" s="5" t="str">
        <v xml:space="preserve">E1026 - 84 % </v>
      </c>
      <c r="E27" t="str">
        <v>E1026-Anitha M-84%</v>
      </c>
    </row>
    <row r="28" spans="4:5" x14ac:dyDescent="0.35">
      <c r="D28" s="5" t="str">
        <v xml:space="preserve">E1027 - 81 % </v>
      </c>
      <c r="E28" t="str">
        <v>E1027-Pooja S-81%</v>
      </c>
    </row>
    <row r="29" spans="4:5" x14ac:dyDescent="0.35">
      <c r="D29" s="5" t="str">
        <v xml:space="preserve">E1028 - 93 % </v>
      </c>
      <c r="E29" t="str">
        <v>E1028-Anitha R-93%</v>
      </c>
    </row>
    <row r="30" spans="4:5" x14ac:dyDescent="0.35">
      <c r="D30" s="5" t="str">
        <v xml:space="preserve">E1029 - 97 % </v>
      </c>
      <c r="E30" t="str">
        <v>E1029-Arjun S-97%</v>
      </c>
    </row>
    <row r="31" spans="4:5" x14ac:dyDescent="0.35">
      <c r="D31" s="5" t="str">
        <v xml:space="preserve">E1030 - 80 % </v>
      </c>
      <c r="E31" t="str">
        <v>E1030-Vijay V-80%</v>
      </c>
    </row>
    <row r="32" spans="4:5" x14ac:dyDescent="0.35">
      <c r="D32" s="5" t="str">
        <v xml:space="preserve">E1031 - 82 % </v>
      </c>
      <c r="E32" t="str">
        <v>E1031-Asha K-82%</v>
      </c>
    </row>
    <row r="33" spans="4:5" x14ac:dyDescent="0.35">
      <c r="D33" s="5" t="str">
        <v xml:space="preserve">E1032 - 99 % </v>
      </c>
      <c r="E33" t="str">
        <v>E1032-Keerthana K-99%</v>
      </c>
    </row>
    <row r="34" spans="4:5" x14ac:dyDescent="0.35">
      <c r="D34" s="5" t="str">
        <v xml:space="preserve">E1033 - 85 % </v>
      </c>
      <c r="E34" t="str">
        <v>E1033-Kumar K-85%</v>
      </c>
    </row>
    <row r="35" spans="4:5" x14ac:dyDescent="0.35">
      <c r="D35" s="5" t="str">
        <v xml:space="preserve">E1034 - 89 % </v>
      </c>
      <c r="E35" t="str">
        <v>E1034-Karthik K-89%</v>
      </c>
    </row>
    <row r="36" spans="4:5" x14ac:dyDescent="0.35">
      <c r="D36" s="5" t="str">
        <v xml:space="preserve">E1035 - 85 % </v>
      </c>
      <c r="E36" t="str">
        <v>E1035-Rahul S-85%</v>
      </c>
    </row>
    <row r="37" spans="4:5" x14ac:dyDescent="0.35">
      <c r="D37" s="5" t="str">
        <v xml:space="preserve">E1036 - 89 % </v>
      </c>
      <c r="E37" t="str">
        <v>E1036-Vijay M-89%</v>
      </c>
    </row>
    <row r="38" spans="4:5" x14ac:dyDescent="0.35">
      <c r="D38" s="5" t="str">
        <v xml:space="preserve">E1037 - 93 % </v>
      </c>
      <c r="E38" t="str">
        <v>E1037-Manoj K-93%</v>
      </c>
    </row>
    <row r="39" spans="4:5" x14ac:dyDescent="0.35">
      <c r="D39" s="5" t="str">
        <v xml:space="preserve">E1038 - 97 % </v>
      </c>
      <c r="E39" t="str">
        <v>E1038-Rahul V-97%</v>
      </c>
    </row>
    <row r="40" spans="4:5" x14ac:dyDescent="0.35">
      <c r="D40" s="5" t="str">
        <v xml:space="preserve">E1039 - 91 % </v>
      </c>
      <c r="E40" t="str">
        <v>E1039-Rahul P-91%</v>
      </c>
    </row>
    <row r="41" spans="4:5" x14ac:dyDescent="0.35">
      <c r="D41" s="5" t="str">
        <v xml:space="preserve">E1040 - 85 % </v>
      </c>
      <c r="E41" t="str">
        <v>E1040-Ravi R-85%</v>
      </c>
    </row>
    <row r="42" spans="4:5" x14ac:dyDescent="0.35">
      <c r="D42" s="5" t="str">
        <v xml:space="preserve">E1041 - 100 % </v>
      </c>
      <c r="E42" t="str">
        <v>E1041-Rahul P-100%</v>
      </c>
    </row>
    <row r="43" spans="4:5" x14ac:dyDescent="0.35">
      <c r="D43" s="5" t="str">
        <v xml:space="preserve">E1042 - 100 % </v>
      </c>
      <c r="E43" t="str">
        <v>E1042-Anitha K-100%</v>
      </c>
    </row>
    <row r="44" spans="4:5" x14ac:dyDescent="0.35">
      <c r="D44" s="5" t="str">
        <v xml:space="preserve">E1043 - 100 % </v>
      </c>
      <c r="E44" t="str">
        <v>E1043-Manoj V-100%</v>
      </c>
    </row>
    <row r="45" spans="4:5" x14ac:dyDescent="0.35">
      <c r="D45" s="5" t="str">
        <v xml:space="preserve">E1044 - 91 % </v>
      </c>
      <c r="E45" t="str">
        <v>E1044-Ravi K-91%</v>
      </c>
    </row>
    <row r="46" spans="4:5" x14ac:dyDescent="0.35">
      <c r="D46" s="5" t="str">
        <v xml:space="preserve">E1045 - 93 % </v>
      </c>
      <c r="E46" t="str">
        <v>E1045-Keerthana M-93%</v>
      </c>
    </row>
    <row r="47" spans="4:5" x14ac:dyDescent="0.35">
      <c r="D47" s="5" t="str">
        <v xml:space="preserve">E1046 - 96 % </v>
      </c>
      <c r="E47" t="str">
        <v>E1046-Keerthana S-96%</v>
      </c>
    </row>
    <row r="48" spans="4:5" x14ac:dyDescent="0.35">
      <c r="D48" s="5" t="str">
        <v xml:space="preserve">E1047 - 96 % </v>
      </c>
      <c r="E48" t="str">
        <v>E1047-Sneha S-96%</v>
      </c>
    </row>
    <row r="49" spans="4:5" x14ac:dyDescent="0.35">
      <c r="D49" s="5" t="str">
        <v xml:space="preserve">E1048 - 93 % </v>
      </c>
      <c r="E49" t="str">
        <v>E1048-Divya S-93%</v>
      </c>
    </row>
    <row r="50" spans="4:5" x14ac:dyDescent="0.35">
      <c r="D50" s="5" t="str">
        <v xml:space="preserve">E1049 - 90 % </v>
      </c>
      <c r="E50" t="str">
        <v>E1049-Ravi S-90%</v>
      </c>
    </row>
    <row r="51" spans="4:5" x14ac:dyDescent="0.35">
      <c r="D51" s="5" t="str">
        <v xml:space="preserve">E1050 - 86 % </v>
      </c>
      <c r="E51" t="str">
        <v>E1050-Meena R-86%</v>
      </c>
    </row>
    <row r="52" spans="4:5" x14ac:dyDescent="0.35">
      <c r="D52" s="5" t="str">
        <v xml:space="preserve">E1051 - 89 % </v>
      </c>
      <c r="E52" t="str">
        <v>E1051-Meena R-89%</v>
      </c>
    </row>
    <row r="53" spans="4:5" x14ac:dyDescent="0.35">
      <c r="D53" s="5" t="str">
        <v xml:space="preserve">E1052 - 88 % </v>
      </c>
      <c r="E53" t="str">
        <v>E1052-Kumar P-88%</v>
      </c>
    </row>
    <row r="54" spans="4:5" x14ac:dyDescent="0.35">
      <c r="D54" s="5" t="str">
        <v xml:space="preserve">E1053 - 85 % </v>
      </c>
      <c r="E54" t="str">
        <v>E1053-Anitha V-85%</v>
      </c>
    </row>
    <row r="55" spans="4:5" x14ac:dyDescent="0.35">
      <c r="D55" s="5" t="str">
        <v xml:space="preserve">E1054 - 81 % </v>
      </c>
      <c r="E55" t="str">
        <v>E1054-Rahul R-81%</v>
      </c>
    </row>
    <row r="56" spans="4:5" x14ac:dyDescent="0.35">
      <c r="D56" s="5" t="str">
        <v xml:space="preserve">E1055 - 94 % </v>
      </c>
      <c r="E56" t="str">
        <v>E1055-Sneha S-94%</v>
      </c>
    </row>
    <row r="57" spans="4:5" x14ac:dyDescent="0.35">
      <c r="D57" s="5" t="str">
        <v xml:space="preserve">E1056 - 94 % </v>
      </c>
      <c r="E57" t="str">
        <v>E1056-Asha V-94%</v>
      </c>
    </row>
    <row r="58" spans="4:5" x14ac:dyDescent="0.35">
      <c r="D58" s="5" t="str">
        <v xml:space="preserve">E1057 - 89 % </v>
      </c>
      <c r="E58" t="str">
        <v>E1057-Asha M-89%</v>
      </c>
    </row>
    <row r="59" spans="4:5" x14ac:dyDescent="0.35">
      <c r="D59" s="5" t="str">
        <v xml:space="preserve">E1058 - 95 % </v>
      </c>
      <c r="E59" t="str">
        <v>E1058-Vijay R-95%</v>
      </c>
    </row>
    <row r="60" spans="4:5" x14ac:dyDescent="0.35">
      <c r="D60" s="5" t="str">
        <v xml:space="preserve">E1059 - 86 % </v>
      </c>
      <c r="E60" t="str">
        <v>E1059-Pooja V-86%</v>
      </c>
    </row>
    <row r="61" spans="4:5" x14ac:dyDescent="0.35">
      <c r="D61" s="5" t="str">
        <v xml:space="preserve">E1060 - 100 % </v>
      </c>
      <c r="E61" t="str">
        <v>E1060-Karthik R-100%</v>
      </c>
    </row>
    <row r="62" spans="4:5" x14ac:dyDescent="0.35">
      <c r="D62" s="5" t="str">
        <v xml:space="preserve">E1061 - 88 % </v>
      </c>
      <c r="E62" t="str">
        <v>E1061-Ajay S-88%</v>
      </c>
    </row>
    <row r="63" spans="4:5" x14ac:dyDescent="0.35">
      <c r="D63" s="5" t="str">
        <v xml:space="preserve">E1062 - 86 % </v>
      </c>
      <c r="E63" t="str">
        <v>E1062-Lakshmi S-86%</v>
      </c>
    </row>
    <row r="64" spans="4:5" x14ac:dyDescent="0.35">
      <c r="D64" s="5" t="str">
        <v xml:space="preserve">E1063 - 87 % </v>
      </c>
      <c r="E64" t="str">
        <v>E1063-Pooja S-87%</v>
      </c>
    </row>
    <row r="65" spans="4:5" x14ac:dyDescent="0.35">
      <c r="D65" s="5" t="str">
        <v xml:space="preserve">E1064 - 87 % </v>
      </c>
      <c r="E65" t="str">
        <v>E1064-Asha S-87%</v>
      </c>
    </row>
    <row r="66" spans="4:5" x14ac:dyDescent="0.35">
      <c r="D66" s="5" t="str">
        <v xml:space="preserve">E1065 - 92 % </v>
      </c>
      <c r="E66" t="str">
        <v>E1065-Sneha V-92%</v>
      </c>
    </row>
    <row r="67" spans="4:5" x14ac:dyDescent="0.35">
      <c r="D67" s="5" t="str">
        <v xml:space="preserve">E1066 - 97 % </v>
      </c>
      <c r="E67" t="str">
        <v>E1066-Karthik R-97%</v>
      </c>
    </row>
    <row r="68" spans="4:5" x14ac:dyDescent="0.35">
      <c r="D68" s="5" t="str">
        <v xml:space="preserve">E1067 - 82 % </v>
      </c>
      <c r="E68" t="str">
        <v>E1067-Ajay M-82%</v>
      </c>
    </row>
    <row r="69" spans="4:5" x14ac:dyDescent="0.35">
      <c r="D69" s="5" t="str">
        <v xml:space="preserve">E1068 - 81 % </v>
      </c>
      <c r="E69" t="str">
        <v>E1068-Nisha S-81%</v>
      </c>
    </row>
    <row r="70" spans="4:5" x14ac:dyDescent="0.35">
      <c r="D70" s="5" t="str">
        <v xml:space="preserve">E1069 - 83 % </v>
      </c>
      <c r="E70" t="str">
        <v>E1069-Meena R-83%</v>
      </c>
    </row>
    <row r="71" spans="4:5" x14ac:dyDescent="0.35">
      <c r="D71" s="5" t="str">
        <v xml:space="preserve">E1070 - 89 % </v>
      </c>
      <c r="E71" t="str">
        <v>E1070-Asha P-89%</v>
      </c>
    </row>
    <row r="72" spans="4:5" x14ac:dyDescent="0.35">
      <c r="D72" s="5" t="str">
        <v xml:space="preserve">E1071 - 91 % </v>
      </c>
      <c r="E72" t="str">
        <v>E1071-Vignesh S-91%</v>
      </c>
    </row>
    <row r="73" spans="4:5" x14ac:dyDescent="0.35">
      <c r="D73" s="5" t="str">
        <v xml:space="preserve">E1072 - 90 % </v>
      </c>
      <c r="E73" t="str">
        <v>E1072-Rahul R-90%</v>
      </c>
    </row>
    <row r="74" spans="4:5" x14ac:dyDescent="0.35">
      <c r="D74" s="5" t="str">
        <v xml:space="preserve">E1073 - 82 % </v>
      </c>
      <c r="E74" t="str">
        <v>E1073-Rahul S-82%</v>
      </c>
    </row>
    <row r="75" spans="4:5" x14ac:dyDescent="0.35">
      <c r="D75" s="5" t="str">
        <v xml:space="preserve">E1074 - 89 % </v>
      </c>
      <c r="E75" t="str">
        <v>E1074-Priya M-89%</v>
      </c>
    </row>
    <row r="76" spans="4:5" x14ac:dyDescent="0.35">
      <c r="D76" s="5" t="str">
        <v xml:space="preserve">E1075 - 99 % </v>
      </c>
      <c r="E76" t="str">
        <v>E1075-Anitha S-99%</v>
      </c>
    </row>
    <row r="77" spans="4:5" x14ac:dyDescent="0.35">
      <c r="D77" s="5" t="str">
        <v xml:space="preserve">E1076 - 96 % </v>
      </c>
      <c r="E77" t="str">
        <v>E1076-Ravi V-96%</v>
      </c>
    </row>
    <row r="78" spans="4:5" x14ac:dyDescent="0.35">
      <c r="D78" s="5" t="str">
        <v xml:space="preserve">E1077 - 82 % </v>
      </c>
      <c r="E78" t="str">
        <v>E1077-Sneha V-82%</v>
      </c>
    </row>
    <row r="79" spans="4:5" x14ac:dyDescent="0.35">
      <c r="D79" s="5" t="str">
        <v xml:space="preserve">E1078 - 83 % </v>
      </c>
      <c r="E79" t="str">
        <v>E1078-Anitha P-83%</v>
      </c>
    </row>
    <row r="80" spans="4:5" x14ac:dyDescent="0.35">
      <c r="D80" s="5" t="str">
        <v xml:space="preserve">E1079 - 100 % </v>
      </c>
      <c r="E80" t="str">
        <v>E1079-Lakshmi K-100%</v>
      </c>
    </row>
    <row r="81" spans="4:5" x14ac:dyDescent="0.35">
      <c r="D81" s="5" t="str">
        <v xml:space="preserve">E1080 - 86 % </v>
      </c>
      <c r="E81" t="str">
        <v>E1080-Asha R-86%</v>
      </c>
    </row>
    <row r="82" spans="4:5" x14ac:dyDescent="0.35">
      <c r="D82" s="5" t="str">
        <v xml:space="preserve">E1081 - 82 % </v>
      </c>
      <c r="E82" t="str">
        <v>E1081-Vijay S-82%</v>
      </c>
    </row>
    <row r="83" spans="4:5" x14ac:dyDescent="0.35">
      <c r="D83" s="5" t="str">
        <v xml:space="preserve">E1082 - 90 % </v>
      </c>
      <c r="E83" t="str">
        <v>E1082-Ajay S-90%</v>
      </c>
    </row>
    <row r="84" spans="4:5" x14ac:dyDescent="0.35">
      <c r="D84" s="5" t="str">
        <v xml:space="preserve">E1083 - 89 % </v>
      </c>
      <c r="E84" t="str">
        <v>E1083-Vijay R-89%</v>
      </c>
    </row>
    <row r="85" spans="4:5" x14ac:dyDescent="0.35">
      <c r="D85" s="5" t="str">
        <v xml:space="preserve">E1084 - 94 % </v>
      </c>
      <c r="E85" t="str">
        <v>E1084-Keerthana P-94%</v>
      </c>
    </row>
    <row r="86" spans="4:5" x14ac:dyDescent="0.35">
      <c r="D86" s="5" t="str">
        <v xml:space="preserve">E1085 - 81 % </v>
      </c>
      <c r="E86" t="str">
        <v>E1085-Asha P-81%</v>
      </c>
    </row>
    <row r="87" spans="4:5" x14ac:dyDescent="0.35">
      <c r="D87" s="5" t="str">
        <v xml:space="preserve">E1086 - 96 % </v>
      </c>
      <c r="E87" t="str">
        <v>E1086-Anitha S-96%</v>
      </c>
    </row>
    <row r="88" spans="4:5" x14ac:dyDescent="0.35">
      <c r="D88" s="5" t="str">
        <v xml:space="preserve">E1087 - 80 % </v>
      </c>
      <c r="E88" t="str">
        <v>E1087-Kumar S-80%</v>
      </c>
    </row>
    <row r="89" spans="4:5" x14ac:dyDescent="0.35">
      <c r="D89" s="5" t="str">
        <v xml:space="preserve">E1088 - 93 % </v>
      </c>
      <c r="E89" t="str">
        <v>E1088-Meena K-93%</v>
      </c>
    </row>
    <row r="90" spans="4:5" x14ac:dyDescent="0.35">
      <c r="D90" s="5" t="str">
        <v xml:space="preserve">E1089 - 81 % </v>
      </c>
      <c r="E90" t="str">
        <v>E1089-Arjun P-81%</v>
      </c>
    </row>
    <row r="91" spans="4:5" x14ac:dyDescent="0.35">
      <c r="D91" s="5" t="str">
        <v xml:space="preserve">E1090 - 99 % </v>
      </c>
      <c r="E91" t="str">
        <v>E1090-Lakshmi R-99%</v>
      </c>
    </row>
    <row r="92" spans="4:5" x14ac:dyDescent="0.35">
      <c r="D92" s="5" t="str">
        <v xml:space="preserve">E1091 - 94 % </v>
      </c>
      <c r="E92" t="str">
        <v>E1091-Sneha R-94%</v>
      </c>
    </row>
    <row r="93" spans="4:5" x14ac:dyDescent="0.35">
      <c r="D93" s="5" t="str">
        <v xml:space="preserve">E1092 - 81 % </v>
      </c>
      <c r="E93" t="str">
        <v>E1092-Nisha V-81%</v>
      </c>
    </row>
    <row r="94" spans="4:5" x14ac:dyDescent="0.35">
      <c r="D94" s="5" t="str">
        <v xml:space="preserve">E1093 - 86 % </v>
      </c>
      <c r="E94" t="str">
        <v>E1093-Divya P-86%</v>
      </c>
    </row>
    <row r="95" spans="4:5" x14ac:dyDescent="0.35">
      <c r="D95" s="5" t="str">
        <v xml:space="preserve">E1094 - 93 % </v>
      </c>
      <c r="E95" t="str">
        <v>E1094-Divya K-93%</v>
      </c>
    </row>
    <row r="96" spans="4:5" x14ac:dyDescent="0.35">
      <c r="D96" s="5" t="str">
        <v xml:space="preserve">E1095 - 80 % </v>
      </c>
      <c r="E96" t="str">
        <v>E1095-Kumar R-80%</v>
      </c>
    </row>
    <row r="97" spans="4:5" x14ac:dyDescent="0.35">
      <c r="D97" s="5" t="str">
        <v xml:space="preserve">E1096 - 97 % </v>
      </c>
      <c r="E97" t="str">
        <v>E1096-Meena V-97%</v>
      </c>
    </row>
    <row r="98" spans="4:5" x14ac:dyDescent="0.35">
      <c r="D98" s="5" t="str">
        <v xml:space="preserve">E1097 - 96 % </v>
      </c>
      <c r="E98" t="str">
        <v>E1097-Karthik P-96%</v>
      </c>
    </row>
    <row r="99" spans="4:5" x14ac:dyDescent="0.35">
      <c r="D99" s="5" t="str">
        <v xml:space="preserve">E1098 - 87 % </v>
      </c>
      <c r="E99" t="str">
        <v>E1098-Suresh S-87%</v>
      </c>
    </row>
    <row r="100" spans="4:5" x14ac:dyDescent="0.35">
      <c r="D100" s="5" t="str">
        <v xml:space="preserve">E1099 - 91 % </v>
      </c>
      <c r="E100" t="str">
        <v>E1099-Priya S-91%</v>
      </c>
    </row>
    <row r="101" spans="4:5" x14ac:dyDescent="0.35">
      <c r="D101" s="5" t="str">
        <v xml:space="preserve">E1100 - 97 % </v>
      </c>
      <c r="E101" t="str">
        <v>E1100-Priya K-97%</v>
      </c>
    </row>
    <row r="102" spans="4:5" x14ac:dyDescent="0.35">
      <c r="D102" s="5" t="str">
        <v xml:space="preserve">E1101 - 84 % </v>
      </c>
      <c r="E102" t="str">
        <v>E1101-Lakshmi V-84%</v>
      </c>
    </row>
    <row r="103" spans="4:5" x14ac:dyDescent="0.35">
      <c r="D103" s="5" t="str">
        <v xml:space="preserve">E1102 - 91 % </v>
      </c>
      <c r="E103" t="str">
        <v>E1102-Divya K-91%</v>
      </c>
    </row>
    <row r="104" spans="4:5" x14ac:dyDescent="0.35">
      <c r="D104" s="5" t="str">
        <v xml:space="preserve">E1103 - 97 % </v>
      </c>
      <c r="E104" t="str">
        <v>E1103-Ajay V-97%</v>
      </c>
    </row>
    <row r="105" spans="4:5" x14ac:dyDescent="0.35">
      <c r="D105" s="5" t="str">
        <v xml:space="preserve">E1104 - 88 % </v>
      </c>
      <c r="E105" t="str">
        <v>E1104-Anitha M-88%</v>
      </c>
    </row>
    <row r="106" spans="4:5" x14ac:dyDescent="0.35">
      <c r="D106" s="5" t="str">
        <v xml:space="preserve">E1105 - 81 % </v>
      </c>
      <c r="E106" t="str">
        <v>E1105-Arjun P-81%</v>
      </c>
    </row>
    <row r="107" spans="4:5" x14ac:dyDescent="0.35">
      <c r="D107" s="5" t="str">
        <v xml:space="preserve">E1106 - 89 % </v>
      </c>
      <c r="E107" t="str">
        <v>E1106-Vijay R-89%</v>
      </c>
    </row>
    <row r="108" spans="4:5" x14ac:dyDescent="0.35">
      <c r="D108" s="5" t="str">
        <v xml:space="preserve">E1107 - 92 % </v>
      </c>
      <c r="E108" t="str">
        <v>E1107-Asha M-92%</v>
      </c>
    </row>
    <row r="109" spans="4:5" x14ac:dyDescent="0.35">
      <c r="D109" s="5" t="str">
        <v xml:space="preserve">E1108 - 94 % </v>
      </c>
      <c r="E109" t="str">
        <v>E1108-Ravi V-94%</v>
      </c>
    </row>
    <row r="110" spans="4:5" x14ac:dyDescent="0.35">
      <c r="D110" s="5" t="str">
        <v xml:space="preserve">E1109 - 86 % </v>
      </c>
      <c r="E110" t="str">
        <v>E1109-Nisha R-86%</v>
      </c>
    </row>
    <row r="111" spans="4:5" x14ac:dyDescent="0.35">
      <c r="D111" s="5" t="str">
        <v xml:space="preserve">E1110 - 96 % </v>
      </c>
      <c r="E111" t="str">
        <v>E1110-Priya M-96%</v>
      </c>
    </row>
    <row r="112" spans="4:5" x14ac:dyDescent="0.35">
      <c r="D112" s="5" t="str">
        <v xml:space="preserve">E1111 - 92 % </v>
      </c>
      <c r="E112" t="str">
        <v>E1111-Divya V-92%</v>
      </c>
    </row>
    <row r="113" spans="4:5" x14ac:dyDescent="0.35">
      <c r="D113" s="5" t="str">
        <v xml:space="preserve">E1112 - 81 % </v>
      </c>
      <c r="E113" t="str">
        <v>E1112-Suresh R-81%</v>
      </c>
    </row>
    <row r="114" spans="4:5" x14ac:dyDescent="0.35">
      <c r="D114" s="5" t="str">
        <v xml:space="preserve">E1113 - 88 % </v>
      </c>
      <c r="E114" t="str">
        <v>E1113-Ravi M-88%</v>
      </c>
    </row>
    <row r="115" spans="4:5" x14ac:dyDescent="0.35">
      <c r="D115" s="5" t="str">
        <v xml:space="preserve">E1114 - 90 % </v>
      </c>
      <c r="E115" t="str">
        <v>E1114-Ajay S-90%</v>
      </c>
    </row>
    <row r="116" spans="4:5" x14ac:dyDescent="0.35">
      <c r="D116" s="5" t="str">
        <v xml:space="preserve">E1115 - 96 % </v>
      </c>
      <c r="E116" t="str">
        <v>E1115-Ravi S-96%</v>
      </c>
    </row>
    <row r="117" spans="4:5" x14ac:dyDescent="0.35">
      <c r="D117" s="5" t="str">
        <v xml:space="preserve">E1116 - 85 % </v>
      </c>
      <c r="E117" t="str">
        <v>E1116-Arjun R-85%</v>
      </c>
    </row>
    <row r="118" spans="4:5" x14ac:dyDescent="0.35">
      <c r="D118" s="5" t="str">
        <v xml:space="preserve">E1117 - 82 % </v>
      </c>
      <c r="E118" t="str">
        <v>E1117-Asha P-82%</v>
      </c>
    </row>
    <row r="119" spans="4:5" x14ac:dyDescent="0.35">
      <c r="D119" s="5" t="str">
        <v xml:space="preserve">E1118 - 98 % </v>
      </c>
      <c r="E119" t="str">
        <v>E1118-Vignesh M-98%</v>
      </c>
    </row>
    <row r="120" spans="4:5" x14ac:dyDescent="0.35">
      <c r="D120" s="5" t="str">
        <v xml:space="preserve">E1119 - 97 % </v>
      </c>
      <c r="E120" t="str">
        <v>E1119-Asha P-97%</v>
      </c>
    </row>
    <row r="121" spans="4:5" x14ac:dyDescent="0.35">
      <c r="D121" s="5" t="str">
        <v xml:space="preserve">E1120 - 98 % </v>
      </c>
      <c r="E121" t="str">
        <v>E1120-Ajay K-98%</v>
      </c>
    </row>
    <row r="122" spans="4:5" x14ac:dyDescent="0.35">
      <c r="D122" s="5" t="str">
        <v xml:space="preserve">E1121 - 86 % </v>
      </c>
      <c r="E122" t="str">
        <v>E1121-Lakshmi V-86%</v>
      </c>
    </row>
    <row r="123" spans="4:5" x14ac:dyDescent="0.35">
      <c r="D123" s="5" t="str">
        <v xml:space="preserve">E1122 - 83 % </v>
      </c>
      <c r="E123" t="str">
        <v>E1122-Sneha V-83%</v>
      </c>
    </row>
    <row r="124" spans="4:5" x14ac:dyDescent="0.35">
      <c r="D124" s="5" t="str">
        <v xml:space="preserve">E1123 - 81 % </v>
      </c>
      <c r="E124" t="str">
        <v>E1123-Lakshmi K-81%</v>
      </c>
    </row>
    <row r="125" spans="4:5" x14ac:dyDescent="0.35">
      <c r="D125" s="5" t="str">
        <v xml:space="preserve">E1124 - 95 % </v>
      </c>
      <c r="E125" t="str">
        <v>E1124-Suresh R-95%</v>
      </c>
    </row>
    <row r="126" spans="4:5" x14ac:dyDescent="0.35">
      <c r="D126" s="5" t="str">
        <v xml:space="preserve">E1125 - 93 % </v>
      </c>
      <c r="E126" t="str">
        <v>E1125-Ajay P-93%</v>
      </c>
    </row>
    <row r="127" spans="4:5" x14ac:dyDescent="0.35">
      <c r="D127" s="5" t="str">
        <v xml:space="preserve">E1126 - 89 % </v>
      </c>
      <c r="E127" t="str">
        <v>E1126-Manoj S-89%</v>
      </c>
    </row>
    <row r="128" spans="4:5" x14ac:dyDescent="0.35">
      <c r="D128" s="5" t="str">
        <v xml:space="preserve">E1127 - 82 % </v>
      </c>
      <c r="E128" t="str">
        <v>E1127-Divya V-82%</v>
      </c>
    </row>
    <row r="129" spans="4:5" x14ac:dyDescent="0.35">
      <c r="D129" s="5" t="str">
        <v xml:space="preserve">E1128 - 95 % </v>
      </c>
      <c r="E129" t="str">
        <v>E1128-Vignesh V-95%</v>
      </c>
    </row>
    <row r="130" spans="4:5" x14ac:dyDescent="0.35">
      <c r="D130" s="5" t="str">
        <v xml:space="preserve">E1129 - 83 % </v>
      </c>
      <c r="E130" t="str">
        <v>E1129-Manoj M-83%</v>
      </c>
    </row>
    <row r="131" spans="4:5" x14ac:dyDescent="0.35">
      <c r="D131" s="5" t="str">
        <v xml:space="preserve">E1130 - 86 % </v>
      </c>
      <c r="E131" t="str">
        <v>E1130-Priya K-86%</v>
      </c>
    </row>
    <row r="132" spans="4:5" x14ac:dyDescent="0.35">
      <c r="D132" s="5" t="str">
        <v xml:space="preserve">E1131 - 88 % </v>
      </c>
      <c r="E132" t="str">
        <v>E1131-Divya S-88%</v>
      </c>
    </row>
    <row r="133" spans="4:5" x14ac:dyDescent="0.35">
      <c r="D133" s="5" t="str">
        <v xml:space="preserve">E1132 - 82 % </v>
      </c>
      <c r="E133" t="str">
        <v>E1132-Karthik K-82%</v>
      </c>
    </row>
    <row r="134" spans="4:5" x14ac:dyDescent="0.35">
      <c r="D134" s="5" t="str">
        <v xml:space="preserve">E1133 - 92 % </v>
      </c>
      <c r="E134" t="str">
        <v>E1133-Karthik R-92%</v>
      </c>
    </row>
    <row r="135" spans="4:5" x14ac:dyDescent="0.35">
      <c r="D135" s="5" t="str">
        <v xml:space="preserve">E1134 - 85 % </v>
      </c>
      <c r="E135" t="str">
        <v>E1134-Ajay S-85%</v>
      </c>
    </row>
    <row r="136" spans="4:5" x14ac:dyDescent="0.35">
      <c r="D136" s="5" t="str">
        <v xml:space="preserve">E1135 - 94 % </v>
      </c>
      <c r="E136" t="str">
        <v>E1135-Anitha R-94%</v>
      </c>
    </row>
    <row r="137" spans="4:5" x14ac:dyDescent="0.35">
      <c r="D137" s="5" t="str">
        <v xml:space="preserve">E1136 - 82 % </v>
      </c>
      <c r="E137" t="str">
        <v>E1136-Asha K-82%</v>
      </c>
    </row>
    <row r="138" spans="4:5" x14ac:dyDescent="0.35">
      <c r="D138" s="5" t="str">
        <v xml:space="preserve">E1137 - 93 % </v>
      </c>
      <c r="E138" t="str">
        <v>E1137-Ravi R-93%</v>
      </c>
    </row>
    <row r="139" spans="4:5" x14ac:dyDescent="0.35">
      <c r="D139" s="5" t="str">
        <v xml:space="preserve">E1138 - 96 % </v>
      </c>
      <c r="E139" t="str">
        <v>E1138-Priya P-96%</v>
      </c>
    </row>
    <row r="140" spans="4:5" x14ac:dyDescent="0.35">
      <c r="D140" s="5" t="str">
        <v xml:space="preserve">E1139 - 94 % </v>
      </c>
      <c r="E140" t="str">
        <v>E1139-Anitha V-94%</v>
      </c>
    </row>
    <row r="141" spans="4:5" x14ac:dyDescent="0.35">
      <c r="D141" s="5" t="str">
        <v xml:space="preserve">E1140 - 80 % </v>
      </c>
      <c r="E141" t="str">
        <v>E1140-Meena R-80%</v>
      </c>
    </row>
    <row r="142" spans="4:5" x14ac:dyDescent="0.35">
      <c r="D142" s="5" t="str">
        <v xml:space="preserve">E1141 - 99 % </v>
      </c>
      <c r="E142" t="str">
        <v>E1141-Asha K-99%</v>
      </c>
    </row>
    <row r="143" spans="4:5" x14ac:dyDescent="0.35">
      <c r="D143" s="5" t="str">
        <v xml:space="preserve">E1142 - 84 % </v>
      </c>
      <c r="E143" t="str">
        <v>E1142-Keerthana S-84%</v>
      </c>
    </row>
    <row r="144" spans="4:5" x14ac:dyDescent="0.35">
      <c r="D144" s="5" t="str">
        <v xml:space="preserve">E1143 - 80 % </v>
      </c>
      <c r="E144" t="str">
        <v>E1143-Vijay V-80%</v>
      </c>
    </row>
    <row r="145" spans="4:5" x14ac:dyDescent="0.35">
      <c r="D145" s="5" t="str">
        <v xml:space="preserve">E1144 - 88 % </v>
      </c>
      <c r="E145" t="str">
        <v>E1144-Divya S-88%</v>
      </c>
    </row>
    <row r="146" spans="4:5" x14ac:dyDescent="0.35">
      <c r="D146" s="5" t="str">
        <v xml:space="preserve">E1145 - 81 % </v>
      </c>
      <c r="E146" t="str">
        <v>E1145-Vijay M-81%</v>
      </c>
    </row>
    <row r="147" spans="4:5" x14ac:dyDescent="0.35">
      <c r="D147" s="5" t="str">
        <v xml:space="preserve">E1146 - 96 % </v>
      </c>
      <c r="E147" t="str">
        <v>E1146-Manoj V-96%</v>
      </c>
    </row>
    <row r="148" spans="4:5" x14ac:dyDescent="0.35">
      <c r="D148" s="5" t="str">
        <v xml:space="preserve">E1147 - 97 % </v>
      </c>
      <c r="E148" t="str">
        <v>E1147-Divya P-97%</v>
      </c>
    </row>
    <row r="149" spans="4:5" x14ac:dyDescent="0.35">
      <c r="D149" s="5" t="str">
        <v xml:space="preserve">E1148 - 87 % </v>
      </c>
      <c r="E149" t="str">
        <v>E1148-Kumar K-87%</v>
      </c>
    </row>
    <row r="150" spans="4:5" x14ac:dyDescent="0.35">
      <c r="D150" s="5" t="str">
        <v xml:space="preserve">E1149 - 90 % </v>
      </c>
      <c r="E150" t="str">
        <v>E1149-Pooja P-90%</v>
      </c>
    </row>
    <row r="151" spans="4:5" x14ac:dyDescent="0.35">
      <c r="D151" s="5" t="str">
        <v xml:space="preserve">E1150 - 92 % </v>
      </c>
      <c r="E151" t="str">
        <v>E1150-Meena M-92%</v>
      </c>
    </row>
    <row r="152" spans="4:5" x14ac:dyDescent="0.35">
      <c r="D152" s="5" t="str">
        <v xml:space="preserve">E1151 - 98 % </v>
      </c>
      <c r="E152" t="str">
        <v>E1151-Anitha K-98%</v>
      </c>
    </row>
    <row r="153" spans="4:5" x14ac:dyDescent="0.35">
      <c r="D153" s="5" t="str">
        <v xml:space="preserve">E1152 - 98 % </v>
      </c>
      <c r="E153" t="str">
        <v>E1152-Pooja R-98%</v>
      </c>
    </row>
    <row r="154" spans="4:5" x14ac:dyDescent="0.35">
      <c r="D154" s="5" t="str">
        <v xml:space="preserve">E1153 - 95 % </v>
      </c>
      <c r="E154" t="str">
        <v>E1153-Rahul K-95%</v>
      </c>
    </row>
    <row r="155" spans="4:5" x14ac:dyDescent="0.35">
      <c r="D155" s="5" t="str">
        <v xml:space="preserve">E1154 - 90 % </v>
      </c>
      <c r="E155" t="str">
        <v>E1154-Arjun K-90%</v>
      </c>
    </row>
    <row r="156" spans="4:5" x14ac:dyDescent="0.35">
      <c r="D156" s="5" t="str">
        <v xml:space="preserve">E1155 - 89 % </v>
      </c>
      <c r="E156" t="str">
        <v>E1155-Lakshmi V-89%</v>
      </c>
    </row>
    <row r="157" spans="4:5" x14ac:dyDescent="0.35">
      <c r="D157" s="5" t="str">
        <v xml:space="preserve">E1156 - 98 % </v>
      </c>
      <c r="E157" t="str">
        <v>E1156-Vijay S-98%</v>
      </c>
    </row>
    <row r="158" spans="4:5" x14ac:dyDescent="0.35">
      <c r="D158" s="5" t="str">
        <v xml:space="preserve">E1157 - 87 % </v>
      </c>
      <c r="E158" t="str">
        <v>E1157-Karthik P-87%</v>
      </c>
    </row>
    <row r="159" spans="4:5" x14ac:dyDescent="0.35">
      <c r="D159" s="5" t="str">
        <v xml:space="preserve">E1158 - 93 % </v>
      </c>
      <c r="E159" t="str">
        <v>E1158-Nisha R-93%</v>
      </c>
    </row>
    <row r="160" spans="4:5" x14ac:dyDescent="0.35">
      <c r="D160" s="5" t="str">
        <v xml:space="preserve">E1159 - 95 % </v>
      </c>
      <c r="E160" t="str">
        <v>E1159-Kumar R-95%</v>
      </c>
    </row>
    <row r="161" spans="4:5" x14ac:dyDescent="0.35">
      <c r="D161" s="5" t="str">
        <v xml:space="preserve">E1160 - 95 % </v>
      </c>
      <c r="E161" t="str">
        <v>E1160-Kumar R-95%</v>
      </c>
    </row>
    <row r="162" spans="4:5" x14ac:dyDescent="0.35">
      <c r="D162" s="5" t="str">
        <v xml:space="preserve">E1161 - 97 % </v>
      </c>
      <c r="E162" t="str">
        <v>E1161-Manoj P-97%</v>
      </c>
    </row>
    <row r="163" spans="4:5" x14ac:dyDescent="0.35">
      <c r="D163" s="5" t="str">
        <v xml:space="preserve">E1162 - 99 % </v>
      </c>
      <c r="E163" t="str">
        <v>E1162-Meena K-99%</v>
      </c>
    </row>
    <row r="164" spans="4:5" x14ac:dyDescent="0.35">
      <c r="D164" s="5" t="str">
        <v xml:space="preserve">E1163 - 93 % </v>
      </c>
      <c r="E164" t="str">
        <v>E1163-Priya V-93%</v>
      </c>
    </row>
    <row r="165" spans="4:5" x14ac:dyDescent="0.35">
      <c r="D165" s="5" t="str">
        <v xml:space="preserve">E1164 - 80 % </v>
      </c>
      <c r="E165" t="str">
        <v>E1164-Rahul M-80%</v>
      </c>
    </row>
    <row r="166" spans="4:5" x14ac:dyDescent="0.35">
      <c r="D166" s="5" t="str">
        <v xml:space="preserve">E1165 - 83 % </v>
      </c>
      <c r="E166" t="str">
        <v>E1165-Anitha S-83%</v>
      </c>
    </row>
    <row r="167" spans="4:5" x14ac:dyDescent="0.35">
      <c r="D167" s="5" t="str">
        <v xml:space="preserve">E1166 - 81 % </v>
      </c>
      <c r="E167" t="str">
        <v>E1166-Manoj R-81%</v>
      </c>
    </row>
    <row r="168" spans="4:5" x14ac:dyDescent="0.35">
      <c r="D168" s="5" t="str">
        <v xml:space="preserve">E1167 - 87 % </v>
      </c>
      <c r="E168" t="str">
        <v>E1167-Meena P-87%</v>
      </c>
    </row>
    <row r="169" spans="4:5" x14ac:dyDescent="0.35">
      <c r="D169" s="5" t="str">
        <v xml:space="preserve">E1168 - 82 % </v>
      </c>
      <c r="E169" t="str">
        <v>E1168-Keerthana S-82%</v>
      </c>
    </row>
    <row r="170" spans="4:5" x14ac:dyDescent="0.35">
      <c r="D170" s="5" t="str">
        <v xml:space="preserve">E1169 - 95 % </v>
      </c>
      <c r="E170" t="str">
        <v>E1169-Kumar R-95%</v>
      </c>
    </row>
    <row r="171" spans="4:5" x14ac:dyDescent="0.35">
      <c r="D171" s="5" t="str">
        <v xml:space="preserve">E1170 - 90 % </v>
      </c>
      <c r="E171" t="str">
        <v>E1170-Vijay V-90%</v>
      </c>
    </row>
    <row r="172" spans="4:5" x14ac:dyDescent="0.35">
      <c r="D172" s="5" t="str">
        <v xml:space="preserve">E1171 - 80 % </v>
      </c>
      <c r="E172" t="str">
        <v>E1171-Priya K-80%</v>
      </c>
    </row>
    <row r="173" spans="4:5" x14ac:dyDescent="0.35">
      <c r="D173" s="5" t="str">
        <v xml:space="preserve">E1172 - 88 % </v>
      </c>
      <c r="E173" t="str">
        <v>E1172-Divya V-88%</v>
      </c>
    </row>
    <row r="174" spans="4:5" x14ac:dyDescent="0.35">
      <c r="D174" s="5" t="str">
        <v xml:space="preserve">E1173 - 85 % </v>
      </c>
      <c r="E174" t="str">
        <v>E1173-Anitha P-85%</v>
      </c>
    </row>
    <row r="175" spans="4:5" x14ac:dyDescent="0.35">
      <c r="D175" s="5" t="str">
        <v xml:space="preserve">E1174 - 90 % </v>
      </c>
      <c r="E175" t="str">
        <v>E1174-Suresh V-90%</v>
      </c>
    </row>
    <row r="176" spans="4:5" x14ac:dyDescent="0.35">
      <c r="D176" s="5" t="str">
        <v xml:space="preserve">E1175 - 93 % </v>
      </c>
      <c r="E176" t="str">
        <v>E1175-Nisha R-93%</v>
      </c>
    </row>
    <row r="177" spans="4:5" x14ac:dyDescent="0.35">
      <c r="D177" s="5" t="str">
        <v xml:space="preserve">E1176 - 89 % </v>
      </c>
      <c r="E177" t="str">
        <v>E1176-Karthik R-89%</v>
      </c>
    </row>
    <row r="178" spans="4:5" x14ac:dyDescent="0.35">
      <c r="D178" s="5" t="str">
        <v xml:space="preserve">E1177 - 86 % </v>
      </c>
      <c r="E178" t="str">
        <v>E1177-Nisha S-86%</v>
      </c>
    </row>
    <row r="179" spans="4:5" x14ac:dyDescent="0.35">
      <c r="D179" s="5" t="str">
        <v xml:space="preserve">E1178 - 81 % </v>
      </c>
      <c r="E179" t="str">
        <v>E1178-Meena R-81%</v>
      </c>
    </row>
    <row r="180" spans="4:5" x14ac:dyDescent="0.35">
      <c r="D180" s="5" t="str">
        <v xml:space="preserve">E1179 - 90 % </v>
      </c>
      <c r="E180" t="str">
        <v>E1179-Nisha K-90%</v>
      </c>
    </row>
    <row r="181" spans="4:5" x14ac:dyDescent="0.35">
      <c r="D181" s="5" t="str">
        <v xml:space="preserve">E1180 - 83 % </v>
      </c>
      <c r="E181" t="str">
        <v>E1180-Karthik R-83%</v>
      </c>
    </row>
    <row r="182" spans="4:5" x14ac:dyDescent="0.35">
      <c r="D182" s="5" t="str">
        <v xml:space="preserve">E1181 - 81 % </v>
      </c>
      <c r="E182" t="str">
        <v>E1181-Sneha V-81%</v>
      </c>
    </row>
    <row r="183" spans="4:5" x14ac:dyDescent="0.35">
      <c r="D183" s="5" t="str">
        <v xml:space="preserve">E1182 - 91 % </v>
      </c>
      <c r="E183" t="str">
        <v>E1182-Suresh V-91%</v>
      </c>
    </row>
    <row r="184" spans="4:5" x14ac:dyDescent="0.35">
      <c r="D184" s="5" t="str">
        <v xml:space="preserve">E1183 - 81 % </v>
      </c>
      <c r="E184" t="str">
        <v>E1183-Keerthana S-81%</v>
      </c>
    </row>
    <row r="185" spans="4:5" x14ac:dyDescent="0.35">
      <c r="D185" s="5" t="str">
        <v xml:space="preserve">E1184 - 83 % </v>
      </c>
      <c r="E185" t="str">
        <v>E1184-Vignesh P-83%</v>
      </c>
    </row>
    <row r="186" spans="4:5" x14ac:dyDescent="0.35">
      <c r="D186" s="5" t="str">
        <v xml:space="preserve">E1185 - 100 % </v>
      </c>
      <c r="E186" t="str">
        <v>E1185-Divya K-100%</v>
      </c>
    </row>
    <row r="187" spans="4:5" x14ac:dyDescent="0.35">
      <c r="D187" s="5" t="str">
        <v xml:space="preserve">E1186 - 83 % </v>
      </c>
      <c r="E187" t="str">
        <v>E1186-Suresh V-83%</v>
      </c>
    </row>
    <row r="188" spans="4:5" x14ac:dyDescent="0.35">
      <c r="D188" s="5" t="str">
        <v xml:space="preserve">E1187 - 88 % </v>
      </c>
      <c r="E188" t="str">
        <v>E1187-Sneha R-88%</v>
      </c>
    </row>
    <row r="189" spans="4:5" x14ac:dyDescent="0.35">
      <c r="D189" s="5" t="str">
        <v xml:space="preserve">E1188 - 82 % </v>
      </c>
      <c r="E189" t="str">
        <v>E1188-Meena R-82%</v>
      </c>
    </row>
    <row r="190" spans="4:5" x14ac:dyDescent="0.35">
      <c r="D190" s="5" t="str">
        <v xml:space="preserve">E1189 - 82 % </v>
      </c>
      <c r="E190" t="str">
        <v>E1189-Lakshmi M-82%</v>
      </c>
    </row>
    <row r="191" spans="4:5" x14ac:dyDescent="0.35">
      <c r="D191" s="5" t="str">
        <v xml:space="preserve">E1190 - 89 % </v>
      </c>
      <c r="E191" t="str">
        <v>E1190-Kumar V-89%</v>
      </c>
    </row>
    <row r="192" spans="4:5" x14ac:dyDescent="0.35">
      <c r="D192" s="5" t="str">
        <v xml:space="preserve">E1191 - 82 % </v>
      </c>
      <c r="E192" t="str">
        <v>E1191-Lakshmi P-82%</v>
      </c>
    </row>
    <row r="193" spans="4:5" x14ac:dyDescent="0.35">
      <c r="D193" s="5" t="str">
        <v xml:space="preserve">E1192 - 100 % </v>
      </c>
      <c r="E193" t="str">
        <v>E1192-Priya K-100%</v>
      </c>
    </row>
    <row r="194" spans="4:5" x14ac:dyDescent="0.35">
      <c r="D194" s="5" t="str">
        <v xml:space="preserve">E1193 - 94 % </v>
      </c>
      <c r="E194" t="str">
        <v>E1193-Divya P-94%</v>
      </c>
    </row>
    <row r="195" spans="4:5" x14ac:dyDescent="0.35">
      <c r="D195" s="5" t="str">
        <v xml:space="preserve">E1194 - 97 % </v>
      </c>
      <c r="E195" t="str">
        <v>E1194-Lakshmi K-97%</v>
      </c>
    </row>
    <row r="196" spans="4:5" x14ac:dyDescent="0.35">
      <c r="D196" s="5" t="str">
        <v xml:space="preserve">E1195 - 89 % </v>
      </c>
      <c r="E196" t="str">
        <v>E1195-Pooja K-89%</v>
      </c>
    </row>
    <row r="197" spans="4:5" x14ac:dyDescent="0.35">
      <c r="D197" s="5" t="str">
        <v xml:space="preserve">E1196 - 83 % </v>
      </c>
      <c r="E197" t="str">
        <v>E1196-Vijay R-83%</v>
      </c>
    </row>
    <row r="198" spans="4:5" x14ac:dyDescent="0.35">
      <c r="D198" s="5" t="str">
        <v xml:space="preserve">E1197 - 98 % </v>
      </c>
      <c r="E198" t="str">
        <v>E1197-Sneha M-98%</v>
      </c>
    </row>
    <row r="199" spans="4:5" x14ac:dyDescent="0.35">
      <c r="D199" s="5" t="str">
        <v xml:space="preserve">E1198 - 99 % </v>
      </c>
      <c r="E199" t="str">
        <v>E1198-Arjun S-99%</v>
      </c>
    </row>
    <row r="200" spans="4:5" x14ac:dyDescent="0.35">
      <c r="D200" s="5" t="str">
        <v xml:space="preserve">E1199 - 87 % </v>
      </c>
      <c r="E200" t="str">
        <v>E1199-Nisha M-87%</v>
      </c>
    </row>
    <row r="201" spans="4:5" x14ac:dyDescent="0.35">
      <c r="D201" s="5" t="str">
        <v xml:space="preserve">E1200 - 94 % </v>
      </c>
      <c r="E201" t="str">
        <v>E1200-Meena K-94%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5E587-E795-482D-B81F-68611857C83F}">
  <dimension ref="A1:C2"/>
  <sheetViews>
    <sheetView zoomScale="175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39.08984375" style="4" bestFit="1" customWidth="1"/>
    <col min="3" max="3" width="40.1796875" style="5" bestFit="1" customWidth="1"/>
  </cols>
  <sheetData>
    <row r="1" spans="1:3" ht="29" x14ac:dyDescent="0.35">
      <c r="A1">
        <v>25</v>
      </c>
      <c r="B1" s="4" t="s">
        <v>367</v>
      </c>
      <c r="C1" s="22">
        <f>AVERAGE(emp_data!P2:P201)</f>
        <v>89.344999999999999</v>
      </c>
    </row>
    <row r="2" spans="1:3" x14ac:dyDescent="0.35">
      <c r="C2" s="7"/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0BA42-EC78-4024-B33E-D0C2A7797B8C}">
  <dimension ref="A1:C17"/>
  <sheetViews>
    <sheetView zoomScale="175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70.1796875" style="4" customWidth="1"/>
    <col min="3" max="3" width="40.1796875" style="5" bestFit="1" customWidth="1"/>
  </cols>
  <sheetData>
    <row r="1" spans="1:3" x14ac:dyDescent="0.35">
      <c r="A1">
        <v>26</v>
      </c>
      <c r="B1" s="4" t="s">
        <v>372</v>
      </c>
      <c r="C1" s="5" t="str" cm="1">
        <f t="array" ref="C1:C10">_xlfn.LET(_xlpm.emp_id, emp_data!A2:A201, _xlpm.att, emp_data!P2:P201, _xlfn._xlws.FILTER(_xlpm.emp_id &amp; " - " &amp; _xlpm.att &amp; " % ", _xlpm.att&lt;=80, "Not Regular"))</f>
        <v xml:space="preserve">E1005 - 80 % </v>
      </c>
    </row>
    <row r="2" spans="1:3" x14ac:dyDescent="0.35">
      <c r="C2" s="5" t="str">
        <v xml:space="preserve">E1008 - 80 % </v>
      </c>
    </row>
    <row r="3" spans="1:3" x14ac:dyDescent="0.35">
      <c r="C3" s="5" t="str">
        <v xml:space="preserve">E1025 - 80 % </v>
      </c>
    </row>
    <row r="4" spans="1:3" x14ac:dyDescent="0.35">
      <c r="C4" s="5" t="str">
        <v xml:space="preserve">E1030 - 80 % </v>
      </c>
    </row>
    <row r="5" spans="1:3" x14ac:dyDescent="0.35">
      <c r="C5" s="5" t="str">
        <v xml:space="preserve">E1087 - 80 % </v>
      </c>
    </row>
    <row r="6" spans="1:3" x14ac:dyDescent="0.35">
      <c r="C6" s="5" t="str">
        <v xml:space="preserve">E1095 - 80 % </v>
      </c>
    </row>
    <row r="7" spans="1:3" x14ac:dyDescent="0.35">
      <c r="C7" s="5" t="str">
        <v xml:space="preserve">E1140 - 80 % </v>
      </c>
    </row>
    <row r="8" spans="1:3" x14ac:dyDescent="0.35">
      <c r="C8" s="5" t="str">
        <v xml:space="preserve">E1143 - 80 % </v>
      </c>
    </row>
    <row r="9" spans="1:3" x14ac:dyDescent="0.35">
      <c r="C9" s="5" t="str">
        <v xml:space="preserve">E1164 - 80 % </v>
      </c>
    </row>
    <row r="10" spans="1:3" x14ac:dyDescent="0.35">
      <c r="C10" s="5" t="str">
        <v xml:space="preserve">E1171 - 80 % </v>
      </c>
    </row>
    <row r="16" spans="1:3" x14ac:dyDescent="0.35">
      <c r="A16">
        <v>27</v>
      </c>
      <c r="B16" s="4" t="s">
        <v>369</v>
      </c>
      <c r="C16" s="5" t="str" cm="1">
        <f t="array" ref="C16:C17">_xlfn.LET(_xlpm.emp_id, emp_data!A2:A201, _xlpm.att, emp_data!P2:P201, _xlpm.performance, emp_data!T2:T201, _xlfn._xlws.FILTER(_xlpm.emp_id &amp; "- Performance : " &amp; _xlpm.performance &amp; " % - Attendance : " &amp;_xlpm.att &amp; " %", (_xlpm.att&gt;95) * (_xlpm.performance&gt;=95), "No Employees Found"))</f>
        <v>E1115- Performance : 99 % - Attendance : 96 %</v>
      </c>
    </row>
    <row r="17" spans="3:3" x14ac:dyDescent="0.35">
      <c r="C17" s="5" t="str">
        <v>E1151- Performance : 95 % - Attendance : 98 %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1CE5-EBC2-47DF-A179-C66D3076F58B}">
  <dimension ref="A1:C2"/>
  <sheetViews>
    <sheetView topLeftCell="B1" zoomScale="175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70.1796875" style="4" customWidth="1"/>
    <col min="3" max="3" width="40.1796875" style="5" bestFit="1" customWidth="1"/>
  </cols>
  <sheetData>
    <row r="1" spans="1:3" x14ac:dyDescent="0.35">
      <c r="A1">
        <v>27</v>
      </c>
      <c r="B1" s="4" t="s">
        <v>369</v>
      </c>
      <c r="C1" s="5" t="str" cm="1">
        <f t="array" ref="C1:C2">_xlfn.LET(_xlpm.emp_id, emp_data!A2:A201, _xlpm.att, emp_data!P2:P201, _xlpm.performance, emp_data!T2:T201, _xlfn._xlws.FILTER(_xlpm.emp_id &amp; "- Performance : " &amp; _xlpm.performance &amp; " % - Attendance : " &amp;_xlpm.att &amp; " %", (_xlpm.att&gt;95) * (_xlpm.performance&gt;=95), "No Employees Found"))</f>
        <v>E1115- Performance : 99 % - Attendance : 96 %</v>
      </c>
    </row>
    <row r="2" spans="1:3" x14ac:dyDescent="0.35">
      <c r="C2" s="5" t="str">
        <v>E1151- Performance : 95 % - Attendance : 98 %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EE7A-8E5F-48FA-8289-5A79FE7BCE16}">
  <dimension ref="A1:C1"/>
  <sheetViews>
    <sheetView zoomScale="205" zoomScaleNormal="205" workbookViewId="0">
      <selection activeCell="B1" sqref="B1"/>
    </sheetView>
  </sheetViews>
  <sheetFormatPr defaultRowHeight="14.5" x14ac:dyDescent="0.35"/>
  <cols>
    <col min="1" max="1" width="37.54296875" bestFit="1" customWidth="1"/>
    <col min="2" max="2" width="18.1796875" customWidth="1"/>
  </cols>
  <sheetData>
    <row r="1" spans="1:3" x14ac:dyDescent="0.35">
      <c r="A1" t="s">
        <v>373</v>
      </c>
      <c r="B1" s="2">
        <f>AVERAGE(emp_data!O2:O201)</f>
        <v>10.66</v>
      </c>
      <c r="C1" t="s">
        <v>374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71D0-F617-4C2C-9521-B04422E6DB13}">
  <dimension ref="A1:C35"/>
  <sheetViews>
    <sheetView zoomScale="190" zoomScaleNormal="190" workbookViewId="0">
      <selection activeCell="C2" sqref="C2"/>
    </sheetView>
  </sheetViews>
  <sheetFormatPr defaultColWidth="8.81640625" defaultRowHeight="14.5" x14ac:dyDescent="0.35"/>
  <cols>
    <col min="1" max="1" width="63.81640625" bestFit="1" customWidth="1"/>
    <col min="2" max="2" width="17.1796875" bestFit="1" customWidth="1"/>
    <col min="3" max="3" width="29.54296875" customWidth="1"/>
  </cols>
  <sheetData>
    <row r="1" spans="1:3" x14ac:dyDescent="0.35">
      <c r="B1" t="s">
        <v>377</v>
      </c>
    </row>
    <row r="2" spans="1:3" x14ac:dyDescent="0.35">
      <c r="A2" t="s">
        <v>378</v>
      </c>
      <c r="B2" s="2">
        <v>18</v>
      </c>
      <c r="C2" s="11" t="str" cm="1">
        <f t="array" ref="C2:C35">_xlfn.LET(_xlpm.emp_id, emp_data!A2:A201, _xlpm.experience, emp_data!O2:O201, _xlfn._xlws.FILTER(_xlpm.emp_id &amp; ": Experience - " &amp; _xlpm.experience &amp; " Years",(_xlpm.experience&gt;=B2),"No Employee Found"))</f>
        <v>E1006: Experience - 18 Years</v>
      </c>
    </row>
    <row r="3" spans="1:3" x14ac:dyDescent="0.35">
      <c r="C3" t="str">
        <v>E1013: Experience - 19 Years</v>
      </c>
    </row>
    <row r="4" spans="1:3" x14ac:dyDescent="0.35">
      <c r="C4" t="str">
        <v>E1029: Experience - 20 Years</v>
      </c>
    </row>
    <row r="5" spans="1:3" x14ac:dyDescent="0.35">
      <c r="C5" t="str">
        <v>E1036: Experience - 18 Years</v>
      </c>
    </row>
    <row r="6" spans="1:3" x14ac:dyDescent="0.35">
      <c r="C6" t="str">
        <v>E1041: Experience - 20 Years</v>
      </c>
    </row>
    <row r="7" spans="1:3" x14ac:dyDescent="0.35">
      <c r="C7" t="str">
        <v>E1052: Experience - 20 Years</v>
      </c>
    </row>
    <row r="8" spans="1:3" x14ac:dyDescent="0.35">
      <c r="C8" t="str">
        <v>E1054: Experience - 20 Years</v>
      </c>
    </row>
    <row r="9" spans="1:3" x14ac:dyDescent="0.35">
      <c r="C9" t="str">
        <v>E1071: Experience - 19 Years</v>
      </c>
    </row>
    <row r="10" spans="1:3" x14ac:dyDescent="0.35">
      <c r="C10" t="str">
        <v>E1074: Experience - 18 Years</v>
      </c>
    </row>
    <row r="11" spans="1:3" x14ac:dyDescent="0.35">
      <c r="C11" t="str">
        <v>E1082: Experience - 18 Years</v>
      </c>
    </row>
    <row r="12" spans="1:3" x14ac:dyDescent="0.35">
      <c r="C12" t="str">
        <v>E1085: Experience - 19 Years</v>
      </c>
    </row>
    <row r="13" spans="1:3" x14ac:dyDescent="0.35">
      <c r="C13" t="str">
        <v>E1087: Experience - 20 Years</v>
      </c>
    </row>
    <row r="14" spans="1:3" x14ac:dyDescent="0.35">
      <c r="C14" t="str">
        <v>E1091: Experience - 18 Years</v>
      </c>
    </row>
    <row r="15" spans="1:3" x14ac:dyDescent="0.35">
      <c r="C15" t="str">
        <v>E1097: Experience - 18 Years</v>
      </c>
    </row>
    <row r="16" spans="1:3" x14ac:dyDescent="0.35">
      <c r="C16" t="str">
        <v>E1100: Experience - 18 Years</v>
      </c>
    </row>
    <row r="17" spans="3:3" x14ac:dyDescent="0.35">
      <c r="C17" t="str">
        <v>E1101: Experience - 18 Years</v>
      </c>
    </row>
    <row r="18" spans="3:3" x14ac:dyDescent="0.35">
      <c r="C18" t="str">
        <v>E1111: Experience - 20 Years</v>
      </c>
    </row>
    <row r="19" spans="3:3" x14ac:dyDescent="0.35">
      <c r="C19" t="str">
        <v>E1113: Experience - 18 Years</v>
      </c>
    </row>
    <row r="20" spans="3:3" x14ac:dyDescent="0.35">
      <c r="C20" t="str">
        <v>E1122: Experience - 19 Years</v>
      </c>
    </row>
    <row r="21" spans="3:3" x14ac:dyDescent="0.35">
      <c r="C21" t="str">
        <v>E1129: Experience - 19 Years</v>
      </c>
    </row>
    <row r="22" spans="3:3" x14ac:dyDescent="0.35">
      <c r="C22" t="str">
        <v>E1144: Experience - 20 Years</v>
      </c>
    </row>
    <row r="23" spans="3:3" x14ac:dyDescent="0.35">
      <c r="C23" t="str">
        <v>E1145: Experience - 18 Years</v>
      </c>
    </row>
    <row r="24" spans="3:3" x14ac:dyDescent="0.35">
      <c r="C24" t="str">
        <v>E1150: Experience - 18 Years</v>
      </c>
    </row>
    <row r="25" spans="3:3" x14ac:dyDescent="0.35">
      <c r="C25" t="str">
        <v>E1152: Experience - 19 Years</v>
      </c>
    </row>
    <row r="26" spans="3:3" x14ac:dyDescent="0.35">
      <c r="C26" t="str">
        <v>E1153: Experience - 20 Years</v>
      </c>
    </row>
    <row r="27" spans="3:3" x14ac:dyDescent="0.35">
      <c r="C27" t="str">
        <v>E1154: Experience - 18 Years</v>
      </c>
    </row>
    <row r="28" spans="3:3" x14ac:dyDescent="0.35">
      <c r="C28" t="str">
        <v>E1162: Experience - 18 Years</v>
      </c>
    </row>
    <row r="29" spans="3:3" x14ac:dyDescent="0.35">
      <c r="C29" t="str">
        <v>E1186: Experience - 18 Years</v>
      </c>
    </row>
    <row r="30" spans="3:3" x14ac:dyDescent="0.35">
      <c r="C30" t="str">
        <v>E1187: Experience - 19 Years</v>
      </c>
    </row>
    <row r="31" spans="3:3" x14ac:dyDescent="0.35">
      <c r="C31" t="str">
        <v>E1188: Experience - 20 Years</v>
      </c>
    </row>
    <row r="32" spans="3:3" x14ac:dyDescent="0.35">
      <c r="C32" t="str">
        <v>E1192: Experience - 19 Years</v>
      </c>
    </row>
    <row r="33" spans="3:3" x14ac:dyDescent="0.35">
      <c r="C33" t="str">
        <v>E1195: Experience - 18 Years</v>
      </c>
    </row>
    <row r="34" spans="3:3" x14ac:dyDescent="0.35">
      <c r="C34" t="str">
        <v>E1196: Experience - 19 Years</v>
      </c>
    </row>
    <row r="35" spans="3:3" x14ac:dyDescent="0.35">
      <c r="C35" t="str">
        <v>E1200: Experience - 19 Years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D7399-DFF8-4531-B09F-3200BFA1F794}">
  <dimension ref="A1:C15"/>
  <sheetViews>
    <sheetView zoomScale="175" zoomScaleNormal="175" workbookViewId="0">
      <selection activeCell="C2" sqref="C2"/>
    </sheetView>
  </sheetViews>
  <sheetFormatPr defaultRowHeight="14.5" x14ac:dyDescent="0.35"/>
  <cols>
    <col min="1" max="1" width="61.1796875" bestFit="1" customWidth="1"/>
    <col min="2" max="2" width="16.08984375" bestFit="1" customWidth="1"/>
    <col min="3" max="3" width="23.6328125" bestFit="1" customWidth="1"/>
  </cols>
  <sheetData>
    <row r="1" spans="1:3" x14ac:dyDescent="0.35">
      <c r="B1" t="s">
        <v>375</v>
      </c>
    </row>
    <row r="2" spans="1:3" x14ac:dyDescent="0.35">
      <c r="A2" t="s">
        <v>376</v>
      </c>
      <c r="B2" s="2">
        <v>1</v>
      </c>
      <c r="C2" s="11" t="str" cm="1">
        <f t="array" ref="C2:C15">_xlfn.LET(_xlpm.emp_id, emp_data!A2:A201, _xlpm.experience, emp_data!O2:O201, _xlfn._xlws.FILTER(_xlpm.emp_id &amp; ": Experience - " &amp; _xlpm.experience &amp; " Years", (_xlpm.experience&lt;='Q30'!B2),"No Employee Found"))</f>
        <v>E1018: Experience - 1 Years</v>
      </c>
    </row>
    <row r="3" spans="1:3" x14ac:dyDescent="0.35">
      <c r="C3" t="str">
        <v>E1058: Experience - 1 Years</v>
      </c>
    </row>
    <row r="4" spans="1:3" x14ac:dyDescent="0.35">
      <c r="C4" t="str">
        <v>E1063: Experience - 1 Years</v>
      </c>
    </row>
    <row r="5" spans="1:3" x14ac:dyDescent="0.35">
      <c r="C5" t="str">
        <v>E1067: Experience - 1 Years</v>
      </c>
    </row>
    <row r="6" spans="1:3" x14ac:dyDescent="0.35">
      <c r="C6" t="str">
        <v>E1073: Experience - 1 Years</v>
      </c>
    </row>
    <row r="7" spans="1:3" x14ac:dyDescent="0.35">
      <c r="C7" t="str">
        <v>E1075: Experience - 1 Years</v>
      </c>
    </row>
    <row r="8" spans="1:3" x14ac:dyDescent="0.35">
      <c r="C8" t="str">
        <v>E1081: Experience - 1 Years</v>
      </c>
    </row>
    <row r="9" spans="1:3" x14ac:dyDescent="0.35">
      <c r="C9" t="str">
        <v>E1089: Experience - 1 Years</v>
      </c>
    </row>
    <row r="10" spans="1:3" x14ac:dyDescent="0.35">
      <c r="C10" t="str">
        <v>E1103: Experience - 1 Years</v>
      </c>
    </row>
    <row r="11" spans="1:3" x14ac:dyDescent="0.35">
      <c r="C11" t="str">
        <v>E1124: Experience - 1 Years</v>
      </c>
    </row>
    <row r="12" spans="1:3" x14ac:dyDescent="0.35">
      <c r="C12" t="str">
        <v>E1131: Experience - 1 Years</v>
      </c>
    </row>
    <row r="13" spans="1:3" x14ac:dyDescent="0.35">
      <c r="C13" t="str">
        <v>E1137: Experience - 1 Years</v>
      </c>
    </row>
    <row r="14" spans="1:3" x14ac:dyDescent="0.35">
      <c r="C14" t="str">
        <v>E1168: Experience - 1 Years</v>
      </c>
    </row>
    <row r="15" spans="1:3" x14ac:dyDescent="0.35">
      <c r="C15" t="str">
        <v>E1169: Experience - 1 Years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emp_data</vt:lpstr>
      <vt:lpstr>Sheet2</vt:lpstr>
      <vt:lpstr>Q01</vt:lpstr>
      <vt:lpstr>Q02</vt:lpstr>
      <vt:lpstr>Q03</vt:lpstr>
      <vt:lpstr>Q04</vt:lpstr>
      <vt:lpstr>Q05</vt:lpstr>
      <vt:lpstr>Q06</vt:lpstr>
      <vt:lpstr>Q07</vt:lpstr>
      <vt:lpstr>Q08</vt:lpstr>
      <vt:lpstr>Q09</vt:lpstr>
      <vt:lpstr>Q10</vt:lpstr>
      <vt:lpstr>Q11</vt:lpstr>
      <vt:lpstr>Q12</vt:lpstr>
      <vt:lpstr>Q13</vt:lpstr>
      <vt:lpstr>Q14</vt:lpstr>
      <vt:lpstr>Q15</vt:lpstr>
      <vt:lpstr>Q16</vt:lpstr>
      <vt:lpstr>Q17</vt:lpstr>
      <vt:lpstr>Q18</vt:lpstr>
      <vt:lpstr>Q19</vt:lpstr>
      <vt:lpstr>Q20</vt:lpstr>
      <vt:lpstr>Q21</vt:lpstr>
      <vt:lpstr>Q22</vt:lpstr>
      <vt:lpstr>Q23</vt:lpstr>
      <vt:lpstr>Q24</vt:lpstr>
      <vt:lpstr>Q25</vt:lpstr>
      <vt:lpstr>Q26</vt:lpstr>
      <vt:lpstr>Q27</vt:lpstr>
      <vt:lpstr>Q28</vt:lpstr>
      <vt:lpstr>Q29</vt:lpstr>
      <vt:lpstr>Q30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Vellingiri N</dc:creator>
  <cp:lastModifiedBy>Vidhya S</cp:lastModifiedBy>
  <dcterms:created xsi:type="dcterms:W3CDTF">2026-07-02T04:35:35Z</dcterms:created>
  <dcterms:modified xsi:type="dcterms:W3CDTF">2026-10-29T05:02:58Z</dcterms:modified>
</cp:coreProperties>
</file>